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266A8307-E5D1-4800-84E3-D66098AA647D}" xr6:coauthVersionLast="47" xr6:coauthVersionMax="47" xr10:uidLastSave="{00000000-0000-0000-0000-000000000000}"/>
  <bookViews>
    <workbookView xWindow="-120" yWindow="-120" windowWidth="20730" windowHeight="11160" xr2:uid="{34A90264-339D-4699-9F28-606EB0571BE1}"/>
  </bookViews>
  <sheets>
    <sheet name="Dashboard" sheetId="3" r:id="rId1"/>
    <sheet name="Pivot Report" sheetId="2" r:id="rId2"/>
    <sheet name="Daily ER no. of Patient" sheetId="4" r:id="rId3"/>
    <sheet name="Wait Time" sheetId="7" r:id="rId4"/>
    <sheet name="Satisfaction score" sheetId="9" r:id="rId5"/>
  </sheets>
  <definedNames>
    <definedName name="Slicer_Date__Month">#N/A</definedName>
    <definedName name="Slicer_Date__Year">#N/A</definedName>
  </definedNames>
  <calcPr calcId="191029"/>
  <pivotCaches>
    <pivotCache cacheId="441" r:id="rId6"/>
    <pivotCache cacheId="443" r:id="rId7"/>
    <pivotCache cacheId="445" r:id="rId8"/>
    <pivotCache cacheId="447" r:id="rId9"/>
    <pivotCache cacheId="449" r:id="rId10"/>
    <pivotCache cacheId="451" r:id="rId11"/>
    <pivotCache cacheId="453" r:id="rId12"/>
    <pivotCache cacheId="455" r:id="rId13"/>
    <pivotCache cacheId="457" r:id="rId14"/>
    <pivotCache cacheId="459" r:id="rId15"/>
    <pivotCache cacheId="461" r:id="rId16"/>
    <pivotCache cacheId="464" r:id="rId17"/>
  </pivotCaches>
  <extLst>
    <ext xmlns:x14="http://schemas.microsoft.com/office/spreadsheetml/2009/9/main" uri="{876F7934-8845-4945-9796-88D515C7AA90}">
      <x14:pivotCaches>
        <pivotCache cacheId="31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d59df5f-ee56-4c67-bceb-8463911936d7" name="Hospital Emergency Room Data" connection="Query - Hospital Emergency Room Data"/>
          <x15:modelTable id="Calender_Table_29242736-996d-4696-b623-beddcaf556d4"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4" i="2" l="1"/>
  <c r="C44" i="2"/>
  <c r="B45" i="2"/>
  <c r="C45" i="2"/>
  <c r="A45" i="2"/>
  <c r="A4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57497E-08C8-44FE-AAE4-AD00F48816C5}" name="Query - Calender_Table" description="Connection to the 'Calender_Table' query in the workbook." type="100" refreshedVersion="8" minRefreshableVersion="5">
    <extLst>
      <ext xmlns:x15="http://schemas.microsoft.com/office/spreadsheetml/2010/11/main" uri="{DE250136-89BD-433C-8126-D09CA5730AF9}">
        <x15:connection id="3a81d90c-a316-4129-8bd5-2806ac89eafd"/>
      </ext>
    </extLst>
  </connection>
  <connection id="2" xr16:uid="{1951C496-2224-454B-8168-DA98245AB69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cf3ab0f-429a-4e56-ae77-063f01ab3553"/>
      </ext>
    </extLst>
  </connection>
  <connection id="3" xr16:uid="{7C595F6C-99B1-4C89-914F-B535B11E93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<sst xmlns="http://schemas.openxmlformats.org/spreadsheetml/2006/main" count="151" uniqueCount="71">
  <si>
    <t>Distinct Count of Patient Id</t>
  </si>
  <si>
    <t>No of Patient</t>
  </si>
  <si>
    <t>Average of Patient Waittime</t>
  </si>
  <si>
    <t>Average of Patient Satisfaction Score</t>
  </si>
  <si>
    <t>Row Labels</t>
  </si>
  <si>
    <t>Grand Total</t>
  </si>
  <si>
    <t>Show a daily trend with an area sparkline to spot patterns like busy days or seasonal trends.</t>
  </si>
  <si>
    <t>Admitted</t>
  </si>
  <si>
    <t>Not Admitted</t>
  </si>
  <si>
    <t>Use an area sparkline to track daily changes and highlight days with longer wait times that might need improvements.</t>
  </si>
  <si>
    <t>Count of Patient Admission Flag</t>
  </si>
  <si>
    <t>Count of Patient Admission Flag2</t>
  </si>
  <si>
    <t>Admission Status</t>
  </si>
  <si>
    <t>No.of Patient</t>
  </si>
  <si>
    <t xml:space="preserve"> </t>
  </si>
  <si>
    <t>0-09</t>
  </si>
  <si>
    <t>10-19</t>
  </si>
  <si>
    <t>20-29</t>
  </si>
  <si>
    <t>30-39</t>
  </si>
  <si>
    <t>40-49</t>
  </si>
  <si>
    <t>50-59</t>
  </si>
  <si>
    <t>60-69</t>
  </si>
  <si>
    <t>70-79</t>
  </si>
  <si>
    <t>Count of Age Group</t>
  </si>
  <si>
    <t>On Time</t>
  </si>
  <si>
    <t>Delay</t>
  </si>
  <si>
    <t>Count of Patient Attend Status</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</si>
  <si>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</si>
  <si>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</si>
  <si>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</si>
  <si>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</si>
  <si>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</si>
  <si>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</si>
  <si>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</si>
  <si>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</si>
  <si>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</si>
  <si>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</si>
  <si>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</si>
  <si>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</si>
  <si>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</si>
  <si>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</si>
  <si>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</si>
  <si>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</si>
  <si>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</si>
  <si>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</si>
  <si>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</si>
  <si>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</si>
  <si>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</si>
  <si>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</si>
  <si>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</si>
  <si>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</si>
  <si>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</si>
  <si>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</si>
  <si>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</si>
  <si>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</si>
  <si>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</si>
  <si>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</si>
  <si>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Female</t>
  </si>
  <si>
    <t>Male</t>
  </si>
  <si>
    <t>Count of Patient Gender</t>
  </si>
  <si>
    <t>Cardiology</t>
  </si>
  <si>
    <t>Gastroenterology</t>
  </si>
  <si>
    <t>General Practice</t>
  </si>
  <si>
    <t>Neurology</t>
  </si>
  <si>
    <t>None</t>
  </si>
  <si>
    <t>Orthopedics</t>
  </si>
  <si>
    <t>Physiotherapy</t>
  </si>
  <si>
    <t>Renal</t>
  </si>
  <si>
    <t>Count of Department Referral</t>
  </si>
  <si>
    <t>% Status</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</si>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</sst>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Aptos Narrow"/>
      <family val="2"/>
      <scheme val="minor"/>
    </font>
    <font>
      <sz val="11"/>
      <color rgb="FFFF0000"/>
      <name val="Aptos Narrow"/>
      <family val="2"/>
      <scheme val="minor"/>
    </font>
    <font>
      <sz val="12"/>
      <color rgb="FF000000"/>
      <name val="Times New Roman"/>
      <family val="1"/>
    </font>
    <font>
      <sz val="11"/>
      <color rgb="FF000000"/>
      <name val="Times New Roman"/>
      <family val="1"/>
    </font>
    <font>
      <sz val="11"/>
      <color theme="1"/>
      <name val="Aptos Narrow"/>
      <family val="2"/>
      <scheme val="minor"/>
    </font>
  </fonts>
  <fills count="7">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2"/>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9">
    <xf numFmtId="0" fontId="0" fillId="0" borderId="0" xfId="0"/>
    <xf numFmtId="0" fontId="0" fillId="0" borderId="0" xfId="0" applyNumberFormat="1"/>
    <xf numFmtId="2" fontId="0" fillId="0" borderId="0" xfId="0" applyNumberFormat="1"/>
    <xf numFmtId="0" fontId="1" fillId="2" borderId="0" xfId="0" applyFont="1" applyFill="1"/>
    <xf numFmtId="0" fontId="0" fillId="2" borderId="0" xfId="0" applyFill="1"/>
    <xf numFmtId="0" fontId="0" fillId="0" borderId="0" xfId="0" pivotButton="1"/>
    <xf numFmtId="0" fontId="0" fillId="0" borderId="0" xfId="0" applyAlignment="1">
      <alignment horizontal="left"/>
    </xf>
    <xf numFmtId="0" fontId="0" fillId="3" borderId="0" xfId="0" applyFill="1" applyAlignment="1">
      <alignment horizontal="center"/>
    </xf>
    <xf numFmtId="0" fontId="0" fillId="4" borderId="0" xfId="0" applyFill="1"/>
    <xf numFmtId="0" fontId="0" fillId="5" borderId="0" xfId="0" applyFill="1"/>
    <xf numFmtId="0" fontId="3" fillId="5" borderId="0" xfId="0" applyFont="1" applyFill="1" applyAlignment="1">
      <alignment horizontal="left" vertical="center" indent="3"/>
    </xf>
    <xf numFmtId="0" fontId="2" fillId="3" borderId="0" xfId="0" applyFont="1" applyFill="1" applyAlignment="1">
      <alignment horizontal="left" indent="9"/>
    </xf>
    <xf numFmtId="1" fontId="0" fillId="0" borderId="0" xfId="0" applyNumberFormat="1"/>
    <xf numFmtId="10" fontId="0" fillId="0" borderId="0" xfId="0" applyNumberFormat="1"/>
    <xf numFmtId="0" fontId="0" fillId="6" borderId="0" xfId="0" applyFill="1"/>
    <xf numFmtId="0" fontId="0" fillId="6" borderId="0" xfId="0" applyFill="1" applyAlignment="1">
      <alignment horizontal="center"/>
    </xf>
    <xf numFmtId="0" fontId="0" fillId="0" borderId="0" xfId="0" applyAlignment="1">
      <alignment horizontal="center"/>
    </xf>
    <xf numFmtId="10" fontId="0" fillId="0" borderId="0" xfId="1" applyNumberFormat="1" applyFont="1" applyAlignment="1">
      <alignment horizontal="center"/>
    </xf>
    <xf numFmtId="164" fontId="0" fillId="0" borderId="0" xfId="0" applyNumberFormat="1"/>
  </cellXfs>
  <cellStyles count="2">
    <cellStyle name="Normal" xfId="0" builtinId="0"/>
    <cellStyle name="Percent" xfId="1" builtinId="5"/>
  </cellStyles>
  <dxfs count="153">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64"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64"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64"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64"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64" formatCode="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8"/>
        </bottom>
        <vertical/>
        <horizontal/>
      </border>
    </dxf>
    <dxf>
      <font>
        <sz val="7"/>
        <color theme="1"/>
      </font>
      <border diagonalUp="0" diagonalDown="0">
        <left/>
        <right/>
        <top/>
        <bottom/>
        <vertical/>
        <horizontal/>
      </border>
    </dxf>
  </dxfs>
  <tableStyles count="2" defaultTableStyle="TableStyleMedium2" defaultPivotStyle="PivotStyleLight16">
    <tableStyle name="my" pivot="0" table="0" count="10" xr9:uid="{72AB921B-39FE-4695-A578-72F3968E554A}">
      <tableStyleElement type="wholeTable" dxfId="152"/>
      <tableStyleElement type="headerRow" dxfId="151"/>
    </tableStyle>
    <tableStyle name="s" pivot="0" table="0" count="10" xr9:uid="{DBFECAE2-9967-4BAF-913F-8AA95B6D707E}">
      <tableStyleElement type="wholeTable" dxfId="150"/>
      <tableStyleElement type="headerRow" dxfId="14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solidFill>
              <a:schemeClr val="accent1"/>
            </a:solidFill>
            <a:ln>
              <a:noFill/>
            </a:ln>
            <a:effectLst/>
          </c:spPr>
          <c:cat>
            <c:strRef>
              <c:f>'Pivot Report'!$C$5:$C$35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Report'!$D$5:$D$35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6859-415A-BDF6-2E1E82EB31B5}"/>
            </c:ext>
          </c:extLst>
        </c:ser>
        <c:dLbls>
          <c:showLegendKey val="0"/>
          <c:showVal val="0"/>
          <c:showCatName val="0"/>
          <c:showSerName val="0"/>
          <c:showPercent val="0"/>
          <c:showBubbleSize val="0"/>
        </c:dLbls>
        <c:axId val="1317649344"/>
        <c:axId val="1317650784"/>
      </c:areaChart>
      <c:catAx>
        <c:axId val="1317649344"/>
        <c:scaling>
          <c:orientation val="minMax"/>
        </c:scaling>
        <c:delete val="1"/>
        <c:axPos val="b"/>
        <c:numFmt formatCode="General" sourceLinked="1"/>
        <c:majorTickMark val="out"/>
        <c:minorTickMark val="none"/>
        <c:tickLblPos val="nextTo"/>
        <c:crossAx val="1317650784"/>
        <c:crosses val="autoZero"/>
        <c:auto val="1"/>
        <c:lblAlgn val="ctr"/>
        <c:lblOffset val="100"/>
        <c:noMultiLvlLbl val="0"/>
      </c:catAx>
      <c:valAx>
        <c:axId val="131765078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31764934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Report'!$H$5</c:f>
              <c:strCache>
                <c:ptCount val="1"/>
                <c:pt idx="0">
                  <c:v>Total</c:v>
                </c:pt>
              </c:strCache>
            </c:strRef>
          </c:tx>
          <c:spPr>
            <a:solidFill>
              <a:schemeClr val="accent1"/>
            </a:solidFill>
            <a:ln>
              <a:noFill/>
            </a:ln>
            <a:effectLst/>
          </c:spPr>
          <c:cat>
            <c:strRef>
              <c:f>'Pivot Report'!$G$6:$G$36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Report'!$H$6:$H$36</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119B-43ED-AFF0-EAB283F76B7F}"/>
            </c:ext>
          </c:extLst>
        </c:ser>
        <c:dLbls>
          <c:showLegendKey val="0"/>
          <c:showVal val="0"/>
          <c:showCatName val="0"/>
          <c:showSerName val="0"/>
          <c:showPercent val="0"/>
          <c:showBubbleSize val="0"/>
        </c:dLbls>
        <c:axId val="1436758816"/>
        <c:axId val="1436759296"/>
      </c:areaChart>
      <c:catAx>
        <c:axId val="1436758816"/>
        <c:scaling>
          <c:orientation val="minMax"/>
        </c:scaling>
        <c:delete val="1"/>
        <c:axPos val="b"/>
        <c:numFmt formatCode="General" sourceLinked="1"/>
        <c:majorTickMark val="out"/>
        <c:minorTickMark val="none"/>
        <c:tickLblPos val="nextTo"/>
        <c:crossAx val="1436759296"/>
        <c:crosses val="autoZero"/>
        <c:auto val="1"/>
        <c:lblAlgn val="ctr"/>
        <c:lblOffset val="100"/>
        <c:noMultiLvlLbl val="0"/>
      </c:catAx>
      <c:valAx>
        <c:axId val="143675929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4367588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Report!PivotTable7</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solidFill>
              <a:schemeClr val="accent1"/>
            </a:solidFill>
            <a:ln>
              <a:noFill/>
            </a:ln>
            <a:effectLst/>
          </c:spPr>
          <c:cat>
            <c:strRef>
              <c:f>'Pivot Report'!$K$6:$K$36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Report'!$L$6:$L$36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9B99-4B86-9D44-FAEFA3D7781F}"/>
            </c:ext>
          </c:extLst>
        </c:ser>
        <c:dLbls>
          <c:showLegendKey val="0"/>
          <c:showVal val="0"/>
          <c:showCatName val="0"/>
          <c:showSerName val="0"/>
          <c:showPercent val="0"/>
          <c:showBubbleSize val="0"/>
        </c:dLbls>
        <c:axId val="1317648864"/>
        <c:axId val="1317638304"/>
      </c:areaChart>
      <c:catAx>
        <c:axId val="1317648864"/>
        <c:scaling>
          <c:orientation val="minMax"/>
        </c:scaling>
        <c:delete val="1"/>
        <c:axPos val="b"/>
        <c:numFmt formatCode="General" sourceLinked="1"/>
        <c:majorTickMark val="out"/>
        <c:minorTickMark val="none"/>
        <c:tickLblPos val="nextTo"/>
        <c:crossAx val="1317638304"/>
        <c:crosses val="autoZero"/>
        <c:auto val="1"/>
        <c:lblAlgn val="ctr"/>
        <c:lblOffset val="100"/>
        <c:noMultiLvlLbl val="0"/>
      </c:catAx>
      <c:valAx>
        <c:axId val="1317638304"/>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317648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8792648974554359E-3"/>
          <c:w val="0.99469103693121563"/>
          <c:h val="0.88759863971401787"/>
        </c:manualLayout>
      </c:layout>
      <c:barChart>
        <c:barDir val="col"/>
        <c:grouping val="clustered"/>
        <c:varyColors val="0"/>
        <c:ser>
          <c:idx val="0"/>
          <c:order val="0"/>
          <c:tx>
            <c:strRef>
              <c:f>'Pivot Report'!$B$48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Report'!$A$49:$A$57</c:f>
              <c:strCache>
                <c:ptCount val="8"/>
                <c:pt idx="0">
                  <c:v>0-09</c:v>
                </c:pt>
                <c:pt idx="1">
                  <c:v>10-19</c:v>
                </c:pt>
                <c:pt idx="2">
                  <c:v>20-29</c:v>
                </c:pt>
                <c:pt idx="3">
                  <c:v>30-39</c:v>
                </c:pt>
                <c:pt idx="4">
                  <c:v>40-49</c:v>
                </c:pt>
                <c:pt idx="5">
                  <c:v>50-59</c:v>
                </c:pt>
                <c:pt idx="6">
                  <c:v>60-69</c:v>
                </c:pt>
                <c:pt idx="7">
                  <c:v>70-79</c:v>
                </c:pt>
              </c:strCache>
            </c:strRef>
          </c:cat>
          <c:val>
            <c:numRef>
              <c:f>'Pivot Report'!$B$49:$B$57</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0-D774-47A7-9F8A-2AB10861679E}"/>
            </c:ext>
          </c:extLst>
        </c:ser>
        <c:dLbls>
          <c:showLegendKey val="0"/>
          <c:showVal val="0"/>
          <c:showCatName val="0"/>
          <c:showSerName val="0"/>
          <c:showPercent val="0"/>
          <c:showBubbleSize val="0"/>
        </c:dLbls>
        <c:gapWidth val="199"/>
        <c:axId val="1421069264"/>
        <c:axId val="1421064464"/>
      </c:barChart>
      <c:catAx>
        <c:axId val="142106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21064464"/>
        <c:crosses val="autoZero"/>
        <c:auto val="1"/>
        <c:lblAlgn val="ctr"/>
        <c:lblOffset val="100"/>
        <c:noMultiLvlLbl val="0"/>
      </c:catAx>
      <c:valAx>
        <c:axId val="1421064464"/>
        <c:scaling>
          <c:orientation val="minMax"/>
        </c:scaling>
        <c:delete val="1"/>
        <c:axPos val="l"/>
        <c:majorGridlines>
          <c:spPr>
            <a:ln w="9525" cap="flat" cmpd="sng" algn="ctr">
              <a:noFill/>
              <a:round/>
            </a:ln>
            <a:effectLst/>
          </c:spPr>
        </c:majorGridlines>
        <c:minorGridlines>
          <c:spPr>
            <a:ln w="9525" cap="flat" cmpd="sng" algn="ctr">
              <a:noFill/>
              <a:round/>
            </a:ln>
            <a:effectLst/>
          </c:spPr>
        </c:minorGridlines>
        <c:numFmt formatCode="0" sourceLinked="1"/>
        <c:majorTickMark val="none"/>
        <c:minorTickMark val="none"/>
        <c:tickLblPos val="nextTo"/>
        <c:crossAx val="142106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[project.xlsx]Pivot Report!PivotTable10</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9747274283032932"/>
          <c:y val="0.23752079227264628"/>
          <c:w val="0.4481426481547931"/>
          <c:h val="0.73426503216866457"/>
        </c:manualLayout>
      </c:layout>
      <c:pieChart>
        <c:varyColors val="1"/>
        <c:ser>
          <c:idx val="0"/>
          <c:order val="0"/>
          <c:tx>
            <c:strRef>
              <c:f>'Pivot Report'!$G$53</c:f>
              <c:strCache>
                <c:ptCount val="1"/>
                <c:pt idx="0">
                  <c:v>Total</c:v>
                </c:pt>
              </c:strCache>
            </c:strRef>
          </c:tx>
          <c:spPr>
            <a:effectLst/>
          </c:spPr>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B93-4A9E-9DE0-73797BE18343}"/>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B93-4A9E-9DE0-73797BE183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Report'!$F$54:$F$56</c:f>
              <c:strCache>
                <c:ptCount val="2"/>
                <c:pt idx="0">
                  <c:v>Delay</c:v>
                </c:pt>
                <c:pt idx="1">
                  <c:v>On Time</c:v>
                </c:pt>
              </c:strCache>
            </c:strRef>
          </c:cat>
          <c:val>
            <c:numRef>
              <c:f>'Pivot Report'!$G$54:$G$56</c:f>
              <c:numCache>
                <c:formatCode>General</c:formatCode>
                <c:ptCount val="2"/>
                <c:pt idx="0">
                  <c:v>297</c:v>
                </c:pt>
                <c:pt idx="1">
                  <c:v>188</c:v>
                </c:pt>
              </c:numCache>
            </c:numRef>
          </c:val>
          <c:extLst>
            <c:ext xmlns:c16="http://schemas.microsoft.com/office/drawing/2014/chart" uri="{C3380CC4-5D6E-409C-BE32-E72D297353CC}">
              <c16:uniqueId val="{00000004-3B93-4A9E-9DE0-73797BE1834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4995325274833688"/>
          <c:y val="4.5302575045054853E-2"/>
          <c:w val="0.51397092574088166"/>
          <c:h val="0.147466588460862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[project.xlsx]Pivot Report!PivotTable11</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509727869930549"/>
          <c:y val="0.19412706962531112"/>
          <c:w val="0.33888888888888891"/>
          <c:h val="0.56481481481481477"/>
        </c:manualLayout>
      </c:layout>
      <c:doughnutChart>
        <c:varyColors val="1"/>
        <c:ser>
          <c:idx val="0"/>
          <c:order val="0"/>
          <c:tx>
            <c:strRef>
              <c:f>'Pivot Report'!$G$60</c:f>
              <c:strCache>
                <c:ptCount val="1"/>
                <c:pt idx="0">
                  <c:v>Total</c:v>
                </c:pt>
              </c:strCache>
            </c:strRef>
          </c:tx>
          <c:dPt>
            <c:idx val="0"/>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AA6-4515-8902-7D8C14EEEDA0}"/>
              </c:ext>
            </c:extLst>
          </c:dPt>
          <c:dPt>
            <c:idx val="1"/>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AA6-4515-8902-7D8C14EEED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Report'!$F$61:$F$63</c:f>
              <c:strCache>
                <c:ptCount val="2"/>
                <c:pt idx="0">
                  <c:v>Female</c:v>
                </c:pt>
                <c:pt idx="1">
                  <c:v>Male</c:v>
                </c:pt>
              </c:strCache>
            </c:strRef>
          </c:cat>
          <c:val>
            <c:numRef>
              <c:f>'Pivot Report'!$G$61:$G$63</c:f>
              <c:numCache>
                <c:formatCode>0</c:formatCode>
                <c:ptCount val="2"/>
                <c:pt idx="0">
                  <c:v>239</c:v>
                </c:pt>
                <c:pt idx="1">
                  <c:v>246</c:v>
                </c:pt>
              </c:numCache>
            </c:numRef>
          </c:val>
          <c:extLst>
            <c:ext xmlns:c16="http://schemas.microsoft.com/office/drawing/2014/chart" uri="{C3380CC4-5D6E-409C-BE32-E72D297353CC}">
              <c16:uniqueId val="{00000004-3AA6-4515-8902-7D8C14EEEDA0}"/>
            </c:ext>
          </c:extLst>
        </c:ser>
        <c:dLbls>
          <c:showLegendKey val="0"/>
          <c:showVal val="0"/>
          <c:showCatName val="0"/>
          <c:showSerName val="0"/>
          <c:showPercent val="1"/>
          <c:showBubbleSize val="0"/>
          <c:showLeaderLines val="1"/>
        </c:dLbls>
        <c:firstSliceAng val="0"/>
        <c:holeSize val="32"/>
      </c:doughnutChart>
      <c:spPr>
        <a:noFill/>
        <a:ln>
          <a:noFill/>
        </a:ln>
        <a:effectLst/>
      </c:spPr>
    </c:plotArea>
    <c:legend>
      <c:legendPos val="r"/>
      <c:layout>
        <c:manualLayout>
          <c:xMode val="edge"/>
          <c:yMode val="edge"/>
          <c:x val="7.9953772197890946E-2"/>
          <c:y val="3.6980943428774608E-2"/>
          <c:w val="0.38493503937007867"/>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Report!PivotTable12</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9834247938994"/>
          <c:y val="0.15376320323708276"/>
          <c:w val="0.64535517230738004"/>
          <c:h val="0.83490783437367788"/>
        </c:manualLayout>
      </c:layout>
      <c:barChart>
        <c:barDir val="bar"/>
        <c:grouping val="clustered"/>
        <c:varyColors val="0"/>
        <c:ser>
          <c:idx val="0"/>
          <c:order val="0"/>
          <c:tx>
            <c:strRef>
              <c:f>'Pivot Report'!$G$40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Report'!$F$41:$F$49</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Report'!$G$41:$G$49</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0-70FA-4936-A8BC-5122FFF423EE}"/>
            </c:ext>
          </c:extLst>
        </c:ser>
        <c:dLbls>
          <c:showLegendKey val="0"/>
          <c:showVal val="0"/>
          <c:showCatName val="0"/>
          <c:showSerName val="0"/>
          <c:showPercent val="0"/>
          <c:showBubbleSize val="0"/>
        </c:dLbls>
        <c:gapWidth val="182"/>
        <c:axId val="1918664704"/>
        <c:axId val="1918668544"/>
      </c:barChart>
      <c:catAx>
        <c:axId val="191866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68544"/>
        <c:crosses val="autoZero"/>
        <c:auto val="1"/>
        <c:lblAlgn val="ctr"/>
        <c:lblOffset val="100"/>
        <c:noMultiLvlLbl val="0"/>
      </c:catAx>
      <c:valAx>
        <c:axId val="1918668544"/>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91866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4F5C85-B26E-4528-B34C-98FA3FB60CEB}"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F83280-A447-47FC-8EAF-9E168FBCC5BC}"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0"/>
          <c:y val="1.3888888888888888E-2"/>
          <c:w val="1"/>
          <c:h val="0.97222222222222221"/>
        </c:manualLayout>
      </c:layout>
      <c:barChart>
        <c:barDir val="bar"/>
        <c:grouping val="clustered"/>
        <c:varyColors val="0"/>
        <c:ser>
          <c:idx val="1"/>
          <c:order val="1"/>
          <c:tx>
            <c:strRef>
              <c:f>'Pivot Report'!$C$38:$C$39</c:f>
              <c:strCache>
                <c:ptCount val="1"/>
                <c:pt idx="0">
                  <c:v>Count of Patient Admission Flag2</c:v>
                </c:pt>
              </c:strCache>
            </c:strRef>
          </c:tx>
          <c:spPr>
            <a:solidFill>
              <a:schemeClr val="accent2"/>
            </a:solidFill>
            <a:ln>
              <a:noFill/>
            </a:ln>
            <a:effectLst/>
          </c:spPr>
          <c:invertIfNegative val="0"/>
          <c:cat>
            <c:strRef>
              <c:f>'Pivot Report'!$C$38:$C$39</c:f>
              <c:strCache>
                <c:ptCount val="2"/>
                <c:pt idx="0">
                  <c:v>Admitted</c:v>
                </c:pt>
                <c:pt idx="1">
                  <c:v>Not Admitted</c:v>
                </c:pt>
              </c:strCache>
            </c:strRef>
          </c:cat>
          <c:val>
            <c:numRef>
              <c:f>'Pivot Report'!$C$38:$C$39</c:f>
              <c:numCache>
                <c:formatCode>0.00%</c:formatCode>
                <c:ptCount val="2"/>
                <c:pt idx="0">
                  <c:v>0.4845360824742268</c:v>
                </c:pt>
                <c:pt idx="1">
                  <c:v>0.51546391752577314</c:v>
                </c:pt>
              </c:numCache>
            </c:numRef>
          </c:val>
          <c:extLst>
            <c:ext xmlns:c16="http://schemas.microsoft.com/office/drawing/2014/chart" uri="{C3380CC4-5D6E-409C-BE32-E72D297353CC}">
              <c16:uniqueId val="{00000001-406A-4E58-BE3F-378C789F4B8A}"/>
            </c:ext>
          </c:extLst>
        </c:ser>
        <c:dLbls>
          <c:showLegendKey val="0"/>
          <c:showVal val="0"/>
          <c:showCatName val="0"/>
          <c:showSerName val="0"/>
          <c:showPercent val="0"/>
          <c:showBubbleSize val="0"/>
        </c:dLbls>
        <c:gapWidth val="182"/>
        <c:axId val="1302918912"/>
        <c:axId val="1302919392"/>
      </c:barChart>
      <c:barChart>
        <c:barDir val="bar"/>
        <c:grouping val="clustered"/>
        <c:varyColors val="0"/>
        <c:ser>
          <c:idx val="0"/>
          <c:order val="0"/>
          <c:tx>
            <c:strRef>
              <c:f>'Pivot Report'!$C$38:$C$39</c:f>
              <c:strCache>
                <c:ptCount val="1"/>
                <c:pt idx="0">
                  <c:v>Count of Patient Admission Flag</c:v>
                </c:pt>
              </c:strCache>
            </c:strRef>
          </c:tx>
          <c:spPr>
            <a:solidFill>
              <a:schemeClr val="accent1"/>
            </a:solidFill>
            <a:ln>
              <a:noFill/>
            </a:ln>
            <a:effectLst/>
          </c:spPr>
          <c:invertIfNegative val="0"/>
          <c:dLbls>
            <c:dLbl>
              <c:idx val="0"/>
              <c:tx>
                <c:rich>
                  <a:bodyPr/>
                  <a:lstStyle/>
                  <a:p>
                    <a:fld id="{A44F5C85-B26E-4528-B34C-98FA3FB60C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06A-4E58-BE3F-378C789F4B8A}"/>
                </c:ext>
              </c:extLst>
            </c:dLbl>
            <c:dLbl>
              <c:idx val="1"/>
              <c:tx>
                <c:rich>
                  <a:bodyPr/>
                  <a:lstStyle/>
                  <a:p>
                    <a:fld id="{7FF83280-A447-47FC-8EAF-9E168FBCC5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06A-4E58-BE3F-378C789F4B8A}"/>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Report'!$C$38:$C$39</c:f>
              <c:strCache>
                <c:ptCount val="2"/>
                <c:pt idx="0">
                  <c:v>Admitted</c:v>
                </c:pt>
                <c:pt idx="1">
                  <c:v>Not Admitted</c:v>
                </c:pt>
              </c:strCache>
            </c:strRef>
          </c:cat>
          <c:val>
            <c:numRef>
              <c:f>'Pivot Report'!$C$38:$C$39</c:f>
              <c:numCache>
                <c:formatCode>0</c:formatCode>
                <c:ptCount val="2"/>
                <c:pt idx="0">
                  <c:v>235</c:v>
                </c:pt>
                <c:pt idx="1">
                  <c:v>250</c:v>
                </c:pt>
              </c:numCache>
            </c:numRef>
          </c:val>
          <c:extLst>
            <c:ext xmlns:c15="http://schemas.microsoft.com/office/drawing/2012/chart" uri="{02D57815-91ED-43cb-92C2-25804820EDAC}">
              <c15:datalabelsRange>
                <c15:f>'Pivot Report'!$C$38:$C$39</c15:f>
                <c15:dlblRangeCache>
                  <c:ptCount val="2"/>
                  <c:pt idx="0">
                    <c:v>48.45%</c:v>
                  </c:pt>
                  <c:pt idx="1">
                    <c:v>51.55%</c:v>
                  </c:pt>
                </c15:dlblRangeCache>
              </c15:datalabelsRange>
            </c:ext>
            <c:ext xmlns:c16="http://schemas.microsoft.com/office/drawing/2014/chart" uri="{C3380CC4-5D6E-409C-BE32-E72D297353CC}">
              <c16:uniqueId val="{00000000-406A-4E58-BE3F-378C789F4B8A}"/>
            </c:ext>
          </c:extLst>
        </c:ser>
        <c:dLbls>
          <c:showLegendKey val="0"/>
          <c:showVal val="0"/>
          <c:showCatName val="0"/>
          <c:showSerName val="0"/>
          <c:showPercent val="0"/>
          <c:showBubbleSize val="0"/>
        </c:dLbls>
        <c:gapWidth val="118"/>
        <c:overlap val="3"/>
        <c:axId val="1383755168"/>
        <c:axId val="1302913152"/>
      </c:barChart>
      <c:catAx>
        <c:axId val="1302918912"/>
        <c:scaling>
          <c:orientation val="minMax"/>
        </c:scaling>
        <c:delete val="1"/>
        <c:axPos val="l"/>
        <c:numFmt formatCode="General" sourceLinked="1"/>
        <c:majorTickMark val="none"/>
        <c:minorTickMark val="none"/>
        <c:tickLblPos val="nextTo"/>
        <c:crossAx val="1302919392"/>
        <c:crosses val="autoZero"/>
        <c:auto val="1"/>
        <c:lblAlgn val="ctr"/>
        <c:lblOffset val="100"/>
        <c:noMultiLvlLbl val="0"/>
      </c:catAx>
      <c:valAx>
        <c:axId val="1302919392"/>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302918912"/>
        <c:crosses val="autoZero"/>
        <c:crossBetween val="between"/>
      </c:valAx>
      <c:valAx>
        <c:axId val="1302913152"/>
        <c:scaling>
          <c:orientation val="minMax"/>
        </c:scaling>
        <c:delete val="1"/>
        <c:axPos val="t"/>
        <c:numFmt formatCode="0" sourceLinked="1"/>
        <c:majorTickMark val="out"/>
        <c:minorTickMark val="none"/>
        <c:tickLblPos val="nextTo"/>
        <c:crossAx val="1383755168"/>
        <c:crosses val="max"/>
        <c:crossBetween val="between"/>
      </c:valAx>
      <c:catAx>
        <c:axId val="1383755168"/>
        <c:scaling>
          <c:orientation val="minMax"/>
        </c:scaling>
        <c:delete val="1"/>
        <c:axPos val="l"/>
        <c:numFmt formatCode="General" sourceLinked="1"/>
        <c:majorTickMark val="out"/>
        <c:minorTickMark val="none"/>
        <c:tickLblPos val="nextTo"/>
        <c:crossAx val="1302913152"/>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Report'!$D$5:$D$35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09D7-45BF-89EA-9E1FCC024AB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22394448"/>
        <c:axId val="1322394928"/>
      </c:areaChart>
      <c:catAx>
        <c:axId val="13223944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22394928"/>
        <c:crosses val="autoZero"/>
        <c:auto val="1"/>
        <c:lblAlgn val="ctr"/>
        <c:lblOffset val="100"/>
        <c:noMultiLvlLbl val="0"/>
      </c:catAx>
      <c:valAx>
        <c:axId val="1322394928"/>
        <c:scaling>
          <c:orientation val="minMax"/>
        </c:scaling>
        <c:delete val="1"/>
        <c:axPos val="l"/>
        <c:numFmt formatCode="General" sourceLinked="1"/>
        <c:majorTickMark val="out"/>
        <c:minorTickMark val="none"/>
        <c:tickLblPos val="nextTo"/>
        <c:crossAx val="13223944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Report!PivotTable5</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Report'!$G$6:$G$36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Report'!$H$6:$H$36</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FE02-4105-93C7-A6B5D93A67B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22393488"/>
        <c:axId val="1322395888"/>
      </c:areaChart>
      <c:catAx>
        <c:axId val="13223934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22395888"/>
        <c:crosses val="autoZero"/>
        <c:auto val="1"/>
        <c:lblAlgn val="ctr"/>
        <c:lblOffset val="100"/>
        <c:noMultiLvlLbl val="0"/>
      </c:catAx>
      <c:valAx>
        <c:axId val="1322395888"/>
        <c:scaling>
          <c:orientation val="minMax"/>
        </c:scaling>
        <c:delete val="1"/>
        <c:axPos val="l"/>
        <c:numFmt formatCode="0.00" sourceLinked="1"/>
        <c:majorTickMark val="out"/>
        <c:minorTickMark val="none"/>
        <c:tickLblPos val="nextTo"/>
        <c:crossAx val="13223934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Report!PivotTable7</c:name>
    <c:fmtId val="4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Report'!$K$6:$K$36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Report'!$L$6:$L$36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2EF3-4290-B458-E5F2ED8A168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17648864"/>
        <c:axId val="1317638304"/>
      </c:areaChart>
      <c:catAx>
        <c:axId val="13176488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17638304"/>
        <c:crosses val="autoZero"/>
        <c:auto val="1"/>
        <c:lblAlgn val="ctr"/>
        <c:lblOffset val="100"/>
        <c:noMultiLvlLbl val="0"/>
      </c:catAx>
      <c:valAx>
        <c:axId val="1317638304"/>
        <c:scaling>
          <c:orientation val="minMax"/>
        </c:scaling>
        <c:delete val="1"/>
        <c:axPos val="l"/>
        <c:numFmt formatCode="0.00" sourceLinked="1"/>
        <c:majorTickMark val="out"/>
        <c:minorTickMark val="none"/>
        <c:tickLblPos val="nextTo"/>
        <c:crossAx val="1317648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Wait Time'!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96741</xdr:colOff>
      <xdr:row>0</xdr:row>
      <xdr:rowOff>104328</xdr:rowOff>
    </xdr:from>
    <xdr:to>
      <xdr:col>4</xdr:col>
      <xdr:colOff>493259</xdr:colOff>
      <xdr:row>3</xdr:row>
      <xdr:rowOff>54847</xdr:rowOff>
    </xdr:to>
    <xdr:sp macro="" textlink="">
      <xdr:nvSpPr>
        <xdr:cNvPr id="2" name="Rectangle: Rounded Corners 1">
          <a:extLst>
            <a:ext uri="{FF2B5EF4-FFF2-40B4-BE49-F238E27FC236}">
              <a16:creationId xmlns:a16="http://schemas.microsoft.com/office/drawing/2014/main" id="{A1513F28-4E16-A163-15AB-B19F7F5A151A}"/>
            </a:ext>
          </a:extLst>
        </xdr:cNvPr>
        <xdr:cNvSpPr/>
      </xdr:nvSpPr>
      <xdr:spPr>
        <a:xfrm>
          <a:off x="96741" y="104328"/>
          <a:ext cx="2845804" cy="511814"/>
        </a:xfrm>
        <a:prstGeom prst="roundRect">
          <a:avLst>
            <a:gd name="adj" fmla="val 841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290396</xdr:colOff>
      <xdr:row>0</xdr:row>
      <xdr:rowOff>111331</xdr:rowOff>
    </xdr:from>
    <xdr:to>
      <xdr:col>6</xdr:col>
      <xdr:colOff>592409</xdr:colOff>
      <xdr:row>3</xdr:row>
      <xdr:rowOff>61850</xdr:rowOff>
    </xdr:to>
    <xdr:sp macro="" textlink="">
      <xdr:nvSpPr>
        <xdr:cNvPr id="3" name="Rectangle: Rounded Corners 2">
          <a:extLst>
            <a:ext uri="{FF2B5EF4-FFF2-40B4-BE49-F238E27FC236}">
              <a16:creationId xmlns:a16="http://schemas.microsoft.com/office/drawing/2014/main" id="{D1A6F144-441A-CA04-EEB5-847781A4F0FB}"/>
            </a:ext>
          </a:extLst>
        </xdr:cNvPr>
        <xdr:cNvSpPr/>
      </xdr:nvSpPr>
      <xdr:spPr>
        <a:xfrm>
          <a:off x="3310518" y="111331"/>
          <a:ext cx="906037" cy="508080"/>
        </a:xfrm>
        <a:prstGeom prst="roundRect">
          <a:avLst>
            <a:gd name="adj" fmla="val 841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23231</xdr:colOff>
      <xdr:row>0</xdr:row>
      <xdr:rowOff>88098</xdr:rowOff>
    </xdr:from>
    <xdr:to>
      <xdr:col>8</xdr:col>
      <xdr:colOff>545944</xdr:colOff>
      <xdr:row>7</xdr:row>
      <xdr:rowOff>42521</xdr:rowOff>
    </xdr:to>
    <xdr:sp macro="" textlink="">
      <xdr:nvSpPr>
        <xdr:cNvPr id="4" name="Rectangle: Rounded Corners 3">
          <a:extLst>
            <a:ext uri="{FF2B5EF4-FFF2-40B4-BE49-F238E27FC236}">
              <a16:creationId xmlns:a16="http://schemas.microsoft.com/office/drawing/2014/main" id="{E113F507-D073-0D5B-00D6-69ACA4BA77EB}"/>
            </a:ext>
          </a:extLst>
        </xdr:cNvPr>
        <xdr:cNvSpPr/>
      </xdr:nvSpPr>
      <xdr:spPr>
        <a:xfrm>
          <a:off x="4309481" y="88098"/>
          <a:ext cx="1135034" cy="1264111"/>
        </a:xfrm>
        <a:prstGeom prst="roundRect">
          <a:avLst>
            <a:gd name="adj" fmla="val 841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580793</xdr:colOff>
      <xdr:row>0</xdr:row>
      <xdr:rowOff>88099</xdr:rowOff>
    </xdr:from>
    <xdr:to>
      <xdr:col>10</xdr:col>
      <xdr:colOff>464634</xdr:colOff>
      <xdr:row>7</xdr:row>
      <xdr:rowOff>34017</xdr:rowOff>
    </xdr:to>
    <xdr:sp macro="" textlink="">
      <xdr:nvSpPr>
        <xdr:cNvPr id="5" name="Rectangle: Rounded Corners 4">
          <a:extLst>
            <a:ext uri="{FF2B5EF4-FFF2-40B4-BE49-F238E27FC236}">
              <a16:creationId xmlns:a16="http://schemas.microsoft.com/office/drawing/2014/main" id="{98B61D6D-6610-B3D9-4410-50F189692F79}"/>
            </a:ext>
          </a:extLst>
        </xdr:cNvPr>
        <xdr:cNvSpPr/>
      </xdr:nvSpPr>
      <xdr:spPr>
        <a:xfrm>
          <a:off x="5479364" y="88099"/>
          <a:ext cx="1108484" cy="1255606"/>
        </a:xfrm>
        <a:prstGeom prst="roundRect">
          <a:avLst>
            <a:gd name="adj" fmla="val 841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98961</xdr:colOff>
      <xdr:row>3</xdr:row>
      <xdr:rowOff>76483</xdr:rowOff>
    </xdr:from>
    <xdr:to>
      <xdr:col>1</xdr:col>
      <xdr:colOff>209086</xdr:colOff>
      <xdr:row>18</xdr:row>
      <xdr:rowOff>51028</xdr:rowOff>
    </xdr:to>
    <xdr:sp macro="" textlink="">
      <xdr:nvSpPr>
        <xdr:cNvPr id="6" name="Rectangle: Rounded Corners 5">
          <a:extLst>
            <a:ext uri="{FF2B5EF4-FFF2-40B4-BE49-F238E27FC236}">
              <a16:creationId xmlns:a16="http://schemas.microsoft.com/office/drawing/2014/main" id="{3986511A-0D25-4BC3-E514-1D68A43291DB}"/>
            </a:ext>
          </a:extLst>
        </xdr:cNvPr>
        <xdr:cNvSpPr/>
      </xdr:nvSpPr>
      <xdr:spPr>
        <a:xfrm>
          <a:off x="98961" y="637778"/>
          <a:ext cx="722446" cy="2781018"/>
        </a:xfrm>
        <a:prstGeom prst="roundRect">
          <a:avLst>
            <a:gd name="adj" fmla="val 8410"/>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34848</xdr:colOff>
      <xdr:row>7</xdr:row>
      <xdr:rowOff>76540</xdr:rowOff>
    </xdr:from>
    <xdr:to>
      <xdr:col>10</xdr:col>
      <xdr:colOff>499482</xdr:colOff>
      <xdr:row>18</xdr:row>
      <xdr:rowOff>42522</xdr:rowOff>
    </xdr:to>
    <xdr:sp macro="" textlink="">
      <xdr:nvSpPr>
        <xdr:cNvPr id="7" name="Rectangle: Rounded Corners 6">
          <a:extLst>
            <a:ext uri="{FF2B5EF4-FFF2-40B4-BE49-F238E27FC236}">
              <a16:creationId xmlns:a16="http://schemas.microsoft.com/office/drawing/2014/main" id="{063A8F4B-03AA-AB60-84E6-A16EF0B4F0A1}"/>
            </a:ext>
          </a:extLst>
        </xdr:cNvPr>
        <xdr:cNvSpPr/>
      </xdr:nvSpPr>
      <xdr:spPr>
        <a:xfrm>
          <a:off x="4321098" y="1386228"/>
          <a:ext cx="2301598" cy="2024062"/>
        </a:xfrm>
        <a:prstGeom prst="roundRect">
          <a:avLst>
            <a:gd name="adj" fmla="val 841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238351</xdr:colOff>
      <xdr:row>3</xdr:row>
      <xdr:rowOff>76482</xdr:rowOff>
    </xdr:from>
    <xdr:to>
      <xdr:col>3</xdr:col>
      <xdr:colOff>139389</xdr:colOff>
      <xdr:row>8</xdr:row>
      <xdr:rowOff>174237</xdr:rowOff>
    </xdr:to>
    <xdr:sp macro="" textlink="">
      <xdr:nvSpPr>
        <xdr:cNvPr id="8" name="Rectangle: Rounded Corners 7">
          <a:extLst>
            <a:ext uri="{FF2B5EF4-FFF2-40B4-BE49-F238E27FC236}">
              <a16:creationId xmlns:a16="http://schemas.microsoft.com/office/drawing/2014/main" id="{4ECA5E6B-399D-FD07-E168-0191BB31994B}"/>
            </a:ext>
          </a:extLst>
        </xdr:cNvPr>
        <xdr:cNvSpPr/>
      </xdr:nvSpPr>
      <xdr:spPr>
        <a:xfrm>
          <a:off x="847671" y="643780"/>
          <a:ext cx="1119678" cy="1043251"/>
        </a:xfrm>
        <a:prstGeom prst="roundRect">
          <a:avLst>
            <a:gd name="adj" fmla="val 841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168656</xdr:colOff>
      <xdr:row>3</xdr:row>
      <xdr:rowOff>76482</xdr:rowOff>
    </xdr:from>
    <xdr:to>
      <xdr:col>5</xdr:col>
      <xdr:colOff>69694</xdr:colOff>
      <xdr:row>8</xdr:row>
      <xdr:rowOff>174237</xdr:rowOff>
    </xdr:to>
    <xdr:sp macro="" textlink="">
      <xdr:nvSpPr>
        <xdr:cNvPr id="12" name="Rectangle: Rounded Corners 11">
          <a:extLst>
            <a:ext uri="{FF2B5EF4-FFF2-40B4-BE49-F238E27FC236}">
              <a16:creationId xmlns:a16="http://schemas.microsoft.com/office/drawing/2014/main" id="{AA55BFAD-FFCB-FBE9-1DC3-F2A8FB63380E}"/>
            </a:ext>
          </a:extLst>
        </xdr:cNvPr>
        <xdr:cNvSpPr/>
      </xdr:nvSpPr>
      <xdr:spPr>
        <a:xfrm>
          <a:off x="1980729" y="634043"/>
          <a:ext cx="1109087" cy="1027023"/>
        </a:xfrm>
        <a:prstGeom prst="roundRect">
          <a:avLst>
            <a:gd name="adj" fmla="val 841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90457</xdr:colOff>
      <xdr:row>3</xdr:row>
      <xdr:rowOff>76482</xdr:rowOff>
    </xdr:from>
    <xdr:to>
      <xdr:col>6</xdr:col>
      <xdr:colOff>595520</xdr:colOff>
      <xdr:row>8</xdr:row>
      <xdr:rowOff>174237</xdr:rowOff>
    </xdr:to>
    <xdr:sp macro="" textlink="">
      <xdr:nvSpPr>
        <xdr:cNvPr id="13" name="Rectangle: Rounded Corners 12">
          <a:extLst>
            <a:ext uri="{FF2B5EF4-FFF2-40B4-BE49-F238E27FC236}">
              <a16:creationId xmlns:a16="http://schemas.microsoft.com/office/drawing/2014/main" id="{669E949F-6F48-633F-AEC8-A105E9044FBB}"/>
            </a:ext>
          </a:extLst>
        </xdr:cNvPr>
        <xdr:cNvSpPr/>
      </xdr:nvSpPr>
      <xdr:spPr>
        <a:xfrm>
          <a:off x="3152064" y="637777"/>
          <a:ext cx="1117385" cy="1033246"/>
        </a:xfrm>
        <a:prstGeom prst="roundRect">
          <a:avLst>
            <a:gd name="adj" fmla="val 841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226735</xdr:colOff>
      <xdr:row>9</xdr:row>
      <xdr:rowOff>18404</xdr:rowOff>
    </xdr:from>
    <xdr:to>
      <xdr:col>7</xdr:col>
      <xdr:colOff>11616</xdr:colOff>
      <xdr:row>11</xdr:row>
      <xdr:rowOff>154777</xdr:rowOff>
    </xdr:to>
    <xdr:sp macro="" textlink="">
      <xdr:nvSpPr>
        <xdr:cNvPr id="14" name="Rectangle: Rounded Corners 13">
          <a:extLst>
            <a:ext uri="{FF2B5EF4-FFF2-40B4-BE49-F238E27FC236}">
              <a16:creationId xmlns:a16="http://schemas.microsoft.com/office/drawing/2014/main" id="{EAB05F06-C103-30E6-FF7C-2D175DE7212C}"/>
            </a:ext>
          </a:extLst>
        </xdr:cNvPr>
        <xdr:cNvSpPr/>
      </xdr:nvSpPr>
      <xdr:spPr>
        <a:xfrm>
          <a:off x="839056" y="1702288"/>
          <a:ext cx="3458810" cy="510569"/>
        </a:xfrm>
        <a:prstGeom prst="roundRect">
          <a:avLst>
            <a:gd name="adj" fmla="val 841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226735</xdr:colOff>
      <xdr:row>11</xdr:row>
      <xdr:rowOff>169409</xdr:rowOff>
    </xdr:from>
    <xdr:to>
      <xdr:col>7</xdr:col>
      <xdr:colOff>11616</xdr:colOff>
      <xdr:row>18</xdr:row>
      <xdr:rowOff>51026</xdr:rowOff>
    </xdr:to>
    <xdr:sp macro="" textlink="">
      <xdr:nvSpPr>
        <xdr:cNvPr id="15" name="Rectangle: Rounded Corners 14">
          <a:extLst>
            <a:ext uri="{FF2B5EF4-FFF2-40B4-BE49-F238E27FC236}">
              <a16:creationId xmlns:a16="http://schemas.microsoft.com/office/drawing/2014/main" id="{232B2A09-EBAA-DA8B-9921-012A3E802440}"/>
            </a:ext>
          </a:extLst>
        </xdr:cNvPr>
        <xdr:cNvSpPr/>
      </xdr:nvSpPr>
      <xdr:spPr>
        <a:xfrm>
          <a:off x="839056" y="2227489"/>
          <a:ext cx="3458810" cy="1191305"/>
        </a:xfrm>
        <a:prstGeom prst="roundRect">
          <a:avLst>
            <a:gd name="adj" fmla="val 8410"/>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12506</xdr:colOff>
      <xdr:row>0</xdr:row>
      <xdr:rowOff>144782</xdr:rowOff>
    </xdr:from>
    <xdr:to>
      <xdr:col>5</xdr:col>
      <xdr:colOff>34018</xdr:colOff>
      <xdr:row>3</xdr:row>
      <xdr:rowOff>170088</xdr:rowOff>
    </xdr:to>
    <xdr:sp macro="" textlink="">
      <xdr:nvSpPr>
        <xdr:cNvPr id="16" name="TextBox 15">
          <a:extLst>
            <a:ext uri="{FF2B5EF4-FFF2-40B4-BE49-F238E27FC236}">
              <a16:creationId xmlns:a16="http://schemas.microsoft.com/office/drawing/2014/main" id="{BACA3185-5028-8E86-EFE1-123BDB6D66DA}"/>
            </a:ext>
          </a:extLst>
        </xdr:cNvPr>
        <xdr:cNvSpPr txBox="1"/>
      </xdr:nvSpPr>
      <xdr:spPr>
        <a:xfrm>
          <a:off x="624827" y="144782"/>
          <a:ext cx="2470798" cy="586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50"/>
            <a:t>Hospital Emergency Room Dashboard</a:t>
          </a:r>
        </a:p>
        <a:p>
          <a:pPr algn="ctr"/>
          <a:r>
            <a:rPr lang="en-US" sz="1000"/>
            <a:t>Monthly</a:t>
          </a:r>
          <a:r>
            <a:rPr lang="en-US" sz="1000" baseline="0"/>
            <a:t> Report</a:t>
          </a:r>
          <a:endParaRPr lang="en-US" sz="1000"/>
        </a:p>
        <a:p>
          <a:pPr algn="ctr"/>
          <a:endParaRPr lang="en-US" sz="1200"/>
        </a:p>
      </xdr:txBody>
    </xdr:sp>
    <xdr:clientData/>
  </xdr:twoCellAnchor>
  <xdr:twoCellAnchor editAs="oneCell">
    <xdr:from>
      <xdr:col>0</xdr:col>
      <xdr:colOff>103057</xdr:colOff>
      <xdr:row>0</xdr:row>
      <xdr:rowOff>127567</xdr:rowOff>
    </xdr:from>
    <xdr:to>
      <xdr:col>1</xdr:col>
      <xdr:colOff>222118</xdr:colOff>
      <xdr:row>3</xdr:row>
      <xdr:rowOff>25111</xdr:rowOff>
    </xdr:to>
    <xdr:pic>
      <xdr:nvPicPr>
        <xdr:cNvPr id="18" name="Picture 17">
          <a:extLst>
            <a:ext uri="{FF2B5EF4-FFF2-40B4-BE49-F238E27FC236}">
              <a16:creationId xmlns:a16="http://schemas.microsoft.com/office/drawing/2014/main" id="{88EAAC64-9C67-45C7-8869-6594134BB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057" y="127567"/>
          <a:ext cx="731382" cy="458839"/>
        </a:xfrm>
        <a:prstGeom prst="rect">
          <a:avLst/>
        </a:prstGeom>
      </xdr:spPr>
    </xdr:pic>
    <xdr:clientData/>
  </xdr:twoCellAnchor>
  <xdr:twoCellAnchor>
    <xdr:from>
      <xdr:col>1</xdr:col>
      <xdr:colOff>322167</xdr:colOff>
      <xdr:row>5</xdr:row>
      <xdr:rowOff>35018</xdr:rowOff>
    </xdr:from>
    <xdr:to>
      <xdr:col>3</xdr:col>
      <xdr:colOff>70035</xdr:colOff>
      <xdr:row>6</xdr:row>
      <xdr:rowOff>63033</xdr:rowOff>
    </xdr:to>
    <xdr:sp macro="" textlink="">
      <xdr:nvSpPr>
        <xdr:cNvPr id="19" name="TextBox 18">
          <a:extLst>
            <a:ext uri="{FF2B5EF4-FFF2-40B4-BE49-F238E27FC236}">
              <a16:creationId xmlns:a16="http://schemas.microsoft.com/office/drawing/2014/main" id="{9110067B-5733-5CDD-0B6C-75308933E524}"/>
            </a:ext>
          </a:extLst>
        </xdr:cNvPr>
        <xdr:cNvSpPr txBox="1"/>
      </xdr:nvSpPr>
      <xdr:spPr>
        <a:xfrm>
          <a:off x="931487" y="980514"/>
          <a:ext cx="966508" cy="2171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dk1"/>
              </a:solidFill>
              <a:effectLst/>
              <a:latin typeface="+mn-lt"/>
              <a:ea typeface="+mn-ea"/>
              <a:cs typeface="+mn-cs"/>
            </a:rPr>
            <a:t>No</a:t>
          </a:r>
          <a:r>
            <a:rPr lang="en-US" sz="1000" b="0" i="0" u="none" strike="noStrike" baseline="0">
              <a:solidFill>
                <a:schemeClr val="dk1"/>
              </a:solidFill>
              <a:effectLst/>
              <a:latin typeface="+mn-lt"/>
              <a:ea typeface="+mn-ea"/>
              <a:cs typeface="+mn-cs"/>
            </a:rPr>
            <a:t> . Of </a:t>
          </a:r>
          <a:r>
            <a:rPr lang="en-US" sz="900" b="0" i="0" u="none" strike="noStrike">
              <a:solidFill>
                <a:schemeClr val="dk1"/>
              </a:solidFill>
              <a:effectLst/>
              <a:latin typeface="+mn-lt"/>
              <a:ea typeface="+mn-ea"/>
              <a:cs typeface="+mn-cs"/>
            </a:rPr>
            <a:t>Patient</a:t>
          </a:r>
          <a:r>
            <a:rPr lang="en-US" sz="1000" b="0" i="0" u="none" strike="noStrike">
              <a:solidFill>
                <a:schemeClr val="dk1"/>
              </a:solidFill>
              <a:effectLst/>
              <a:latin typeface="+mn-lt"/>
              <a:ea typeface="+mn-ea"/>
              <a:cs typeface="+mn-cs"/>
            </a:rPr>
            <a:t> </a:t>
          </a:r>
          <a:endParaRPr lang="en-US" sz="1000" b="0"/>
        </a:p>
      </xdr:txBody>
    </xdr:sp>
    <xdr:clientData/>
  </xdr:twoCellAnchor>
  <xdr:twoCellAnchor>
    <xdr:from>
      <xdr:col>1</xdr:col>
      <xdr:colOff>322169</xdr:colOff>
      <xdr:row>4</xdr:row>
      <xdr:rowOff>63033</xdr:rowOff>
    </xdr:from>
    <xdr:to>
      <xdr:col>3</xdr:col>
      <xdr:colOff>70037</xdr:colOff>
      <xdr:row>5</xdr:row>
      <xdr:rowOff>91049</xdr:rowOff>
    </xdr:to>
    <xdr:sp macro="" textlink="'Pivot Report'!A5">
      <xdr:nvSpPr>
        <xdr:cNvPr id="20" name="TextBox 19">
          <a:extLst>
            <a:ext uri="{FF2B5EF4-FFF2-40B4-BE49-F238E27FC236}">
              <a16:creationId xmlns:a16="http://schemas.microsoft.com/office/drawing/2014/main" id="{5CAAE25E-6901-D6EF-873C-E03ED7B23822}"/>
            </a:ext>
          </a:extLst>
        </xdr:cNvPr>
        <xdr:cNvSpPr txBox="1"/>
      </xdr:nvSpPr>
      <xdr:spPr>
        <a:xfrm>
          <a:off x="931489" y="819430"/>
          <a:ext cx="966508" cy="2171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0EAD24-48DB-4377-B3AA-153BC8E27601}" type="TxLink">
            <a:rPr lang="en-US" sz="1100" b="0" i="0" u="none" strike="noStrike">
              <a:solidFill>
                <a:srgbClr val="000000"/>
              </a:solidFill>
              <a:latin typeface="Aptos Narrow"/>
            </a:rPr>
            <a:pPr algn="ctr"/>
            <a:t>485</a:t>
          </a:fld>
          <a:endParaRPr lang="en-US" sz="1000" b="0"/>
        </a:p>
      </xdr:txBody>
    </xdr:sp>
    <xdr:clientData/>
  </xdr:twoCellAnchor>
  <xdr:twoCellAnchor>
    <xdr:from>
      <xdr:col>3</xdr:col>
      <xdr:colOff>168086</xdr:colOff>
      <xdr:row>5</xdr:row>
      <xdr:rowOff>35018</xdr:rowOff>
    </xdr:from>
    <xdr:to>
      <xdr:col>5</xdr:col>
      <xdr:colOff>98051</xdr:colOff>
      <xdr:row>6</xdr:row>
      <xdr:rowOff>63033</xdr:rowOff>
    </xdr:to>
    <xdr:sp macro="" textlink="">
      <xdr:nvSpPr>
        <xdr:cNvPr id="21" name="TextBox 20">
          <a:extLst>
            <a:ext uri="{FF2B5EF4-FFF2-40B4-BE49-F238E27FC236}">
              <a16:creationId xmlns:a16="http://schemas.microsoft.com/office/drawing/2014/main" id="{529F6C86-2702-AD32-6811-86A0E35E2E58}"/>
            </a:ext>
          </a:extLst>
        </xdr:cNvPr>
        <xdr:cNvSpPr txBox="1"/>
      </xdr:nvSpPr>
      <xdr:spPr>
        <a:xfrm>
          <a:off x="1996046" y="980514"/>
          <a:ext cx="1148604" cy="2171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dk1"/>
              </a:solidFill>
              <a:effectLst/>
              <a:latin typeface="+mn-lt"/>
              <a:ea typeface="+mn-ea"/>
              <a:cs typeface="+mn-cs"/>
            </a:rPr>
            <a:t>Average Wait Time</a:t>
          </a:r>
          <a:endParaRPr lang="en-US" sz="1000" b="0"/>
        </a:p>
      </xdr:txBody>
    </xdr:sp>
    <xdr:clientData/>
  </xdr:twoCellAnchor>
  <xdr:twoCellAnchor>
    <xdr:from>
      <xdr:col>3</xdr:col>
      <xdr:colOff>266138</xdr:colOff>
      <xdr:row>4</xdr:row>
      <xdr:rowOff>68537</xdr:rowOff>
    </xdr:from>
    <xdr:to>
      <xdr:col>5</xdr:col>
      <xdr:colOff>14007</xdr:colOff>
      <xdr:row>5</xdr:row>
      <xdr:rowOff>96553</xdr:rowOff>
    </xdr:to>
    <xdr:sp macro="" textlink="'Pivot Report'!A8">
      <xdr:nvSpPr>
        <xdr:cNvPr id="22" name="TextBox 21">
          <a:extLst>
            <a:ext uri="{FF2B5EF4-FFF2-40B4-BE49-F238E27FC236}">
              <a16:creationId xmlns:a16="http://schemas.microsoft.com/office/drawing/2014/main" id="{019D0C15-70A4-D805-FC21-E6AD45ACB988}"/>
            </a:ext>
          </a:extLst>
        </xdr:cNvPr>
        <xdr:cNvSpPr txBox="1"/>
      </xdr:nvSpPr>
      <xdr:spPr>
        <a:xfrm>
          <a:off x="2103102" y="816930"/>
          <a:ext cx="972512" cy="215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1D1E66-1BF0-4E94-87C3-F9C498E201B7}" type="TxLink">
            <a:rPr lang="en-US" sz="1100" b="0" i="0" u="none" strike="noStrike">
              <a:solidFill>
                <a:srgbClr val="000000"/>
              </a:solidFill>
              <a:latin typeface="Aptos Narrow"/>
            </a:rPr>
            <a:pPr algn="ctr"/>
            <a:t>35.51</a:t>
          </a:fld>
          <a:endParaRPr lang="en-US" sz="1000" b="0"/>
        </a:p>
      </xdr:txBody>
    </xdr:sp>
    <xdr:clientData/>
  </xdr:twoCellAnchor>
  <xdr:twoCellAnchor>
    <xdr:from>
      <xdr:col>4</xdr:col>
      <xdr:colOff>330173</xdr:colOff>
      <xdr:row>5</xdr:row>
      <xdr:rowOff>21011</xdr:rowOff>
    </xdr:from>
    <xdr:to>
      <xdr:col>7</xdr:col>
      <xdr:colOff>400211</xdr:colOff>
      <xdr:row>6</xdr:row>
      <xdr:rowOff>49026</xdr:rowOff>
    </xdr:to>
    <xdr:sp macro="" textlink="">
      <xdr:nvSpPr>
        <xdr:cNvPr id="23" name="TextBox 22">
          <a:extLst>
            <a:ext uri="{FF2B5EF4-FFF2-40B4-BE49-F238E27FC236}">
              <a16:creationId xmlns:a16="http://schemas.microsoft.com/office/drawing/2014/main" id="{37F24318-9933-4957-5C80-3D830A8C8A4D}"/>
            </a:ext>
          </a:extLst>
        </xdr:cNvPr>
        <xdr:cNvSpPr txBox="1"/>
      </xdr:nvSpPr>
      <xdr:spPr>
        <a:xfrm>
          <a:off x="2779459" y="956502"/>
          <a:ext cx="1907002" cy="2151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0" i="0" u="none" strike="noStrike">
              <a:solidFill>
                <a:schemeClr val="dk1"/>
              </a:solidFill>
              <a:effectLst/>
              <a:latin typeface="+mn-lt"/>
              <a:ea typeface="+mn-ea"/>
              <a:cs typeface="+mn-cs"/>
            </a:rPr>
            <a:t>Patient Satisfaction</a:t>
          </a:r>
          <a:r>
            <a:rPr lang="en-US" sz="800" b="0" i="0" u="none" strike="noStrike" baseline="0">
              <a:solidFill>
                <a:schemeClr val="dk1"/>
              </a:solidFill>
              <a:effectLst/>
              <a:latin typeface="+mn-lt"/>
              <a:ea typeface="+mn-ea"/>
              <a:cs typeface="+mn-cs"/>
            </a:rPr>
            <a:t> Score</a:t>
          </a:r>
          <a:endParaRPr lang="en-US" sz="800" b="0"/>
        </a:p>
      </xdr:txBody>
    </xdr:sp>
    <xdr:clientData/>
  </xdr:twoCellAnchor>
  <xdr:twoCellAnchor>
    <xdr:from>
      <xdr:col>5</xdr:col>
      <xdr:colOff>189098</xdr:colOff>
      <xdr:row>4</xdr:row>
      <xdr:rowOff>70037</xdr:rowOff>
    </xdr:from>
    <xdr:to>
      <xdr:col>6</xdr:col>
      <xdr:colOff>546286</xdr:colOff>
      <xdr:row>5</xdr:row>
      <xdr:rowOff>98053</xdr:rowOff>
    </xdr:to>
    <xdr:sp macro="" textlink="'Pivot Report'!A11">
      <xdr:nvSpPr>
        <xdr:cNvPr id="24" name="TextBox 23">
          <a:extLst>
            <a:ext uri="{FF2B5EF4-FFF2-40B4-BE49-F238E27FC236}">
              <a16:creationId xmlns:a16="http://schemas.microsoft.com/office/drawing/2014/main" id="{0421D6F8-CDD6-B05A-E737-12DECC298532}"/>
            </a:ext>
          </a:extLst>
        </xdr:cNvPr>
        <xdr:cNvSpPr txBox="1"/>
      </xdr:nvSpPr>
      <xdr:spPr>
        <a:xfrm>
          <a:off x="3235697" y="826434"/>
          <a:ext cx="966508" cy="2171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8EB422-0533-467B-87E9-AA067F50F25C}" type="TxLink">
            <a:rPr lang="en-US" sz="1100" b="0" i="0" u="none" strike="noStrike">
              <a:solidFill>
                <a:srgbClr val="000000"/>
              </a:solidFill>
              <a:latin typeface="Aptos Narrow"/>
            </a:rPr>
            <a:pPr algn="ctr"/>
            <a:t>4.71</a:t>
          </a:fld>
          <a:endParaRPr lang="en-US" sz="1000" b="0"/>
        </a:p>
      </xdr:txBody>
    </xdr:sp>
    <xdr:clientData/>
  </xdr:twoCellAnchor>
  <xdr:twoCellAnchor editAs="oneCell">
    <xdr:from>
      <xdr:col>2</xdr:col>
      <xdr:colOff>455238</xdr:colOff>
      <xdr:row>3</xdr:row>
      <xdr:rowOff>84045</xdr:rowOff>
    </xdr:from>
    <xdr:to>
      <xdr:col>3</xdr:col>
      <xdr:colOff>161082</xdr:colOff>
      <xdr:row>5</xdr:row>
      <xdr:rowOff>21011</xdr:rowOff>
    </xdr:to>
    <xdr:pic>
      <xdr:nvPicPr>
        <xdr:cNvPr id="10" name="Graphic 9" descr="Male profile with solid fill">
          <a:extLst>
            <a:ext uri="{FF2B5EF4-FFF2-40B4-BE49-F238E27FC236}">
              <a16:creationId xmlns:a16="http://schemas.microsoft.com/office/drawing/2014/main" id="{805196D4-662F-4493-17DC-0658300B4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73878" y="651343"/>
          <a:ext cx="315164" cy="315164"/>
        </a:xfrm>
        <a:prstGeom prst="rect">
          <a:avLst/>
        </a:prstGeom>
      </xdr:spPr>
    </xdr:pic>
    <xdr:clientData/>
  </xdr:twoCellAnchor>
  <xdr:twoCellAnchor editAs="oneCell">
    <xdr:from>
      <xdr:col>4</xdr:col>
      <xdr:colOff>385202</xdr:colOff>
      <xdr:row>3</xdr:row>
      <xdr:rowOff>112058</xdr:rowOff>
    </xdr:from>
    <xdr:to>
      <xdr:col>5</xdr:col>
      <xdr:colOff>73958</xdr:colOff>
      <xdr:row>5</xdr:row>
      <xdr:rowOff>31936</xdr:rowOff>
    </xdr:to>
    <xdr:pic>
      <xdr:nvPicPr>
        <xdr:cNvPr id="17" name="Graphic 16" descr="Hourglass Finished with solid fill">
          <a:extLst>
            <a:ext uri="{FF2B5EF4-FFF2-40B4-BE49-F238E27FC236}">
              <a16:creationId xmlns:a16="http://schemas.microsoft.com/office/drawing/2014/main" id="{1BA5FF6A-25D2-CDFF-B364-79E5A4107AF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22481" y="679356"/>
          <a:ext cx="298076" cy="298076"/>
        </a:xfrm>
        <a:prstGeom prst="rect">
          <a:avLst/>
        </a:prstGeom>
      </xdr:spPr>
    </xdr:pic>
    <xdr:clientData/>
  </xdr:twoCellAnchor>
  <xdr:twoCellAnchor editAs="oneCell">
    <xdr:from>
      <xdr:col>6</xdr:col>
      <xdr:colOff>301156</xdr:colOff>
      <xdr:row>3</xdr:row>
      <xdr:rowOff>107977</xdr:rowOff>
    </xdr:from>
    <xdr:to>
      <xdr:col>6</xdr:col>
      <xdr:colOff>595151</xdr:colOff>
      <xdr:row>5</xdr:row>
      <xdr:rowOff>23774</xdr:rowOff>
    </xdr:to>
    <xdr:pic>
      <xdr:nvPicPr>
        <xdr:cNvPr id="26" name="Graphic 25" descr="Customer review with solid fill">
          <a:extLst>
            <a:ext uri="{FF2B5EF4-FFF2-40B4-BE49-F238E27FC236}">
              <a16:creationId xmlns:a16="http://schemas.microsoft.com/office/drawing/2014/main" id="{4B5B11B7-756A-D284-BAC3-2E14DDFD7F9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57075" y="675275"/>
          <a:ext cx="293995" cy="293995"/>
        </a:xfrm>
        <a:prstGeom prst="rect">
          <a:avLst/>
        </a:prstGeom>
      </xdr:spPr>
    </xdr:pic>
    <xdr:clientData/>
  </xdr:twoCellAnchor>
  <xdr:twoCellAnchor editAs="oneCell">
    <xdr:from>
      <xdr:col>0</xdr:col>
      <xdr:colOff>153079</xdr:colOff>
      <xdr:row>3</xdr:row>
      <xdr:rowOff>102049</xdr:rowOff>
    </xdr:from>
    <xdr:to>
      <xdr:col>1</xdr:col>
      <xdr:colOff>144578</xdr:colOff>
      <xdr:row>18</xdr:row>
      <xdr:rowOff>8504</xdr:rowOff>
    </xdr:to>
    <mc:AlternateContent xmlns:mc="http://schemas.openxmlformats.org/markup-compatibility/2006">
      <mc:Choice xmlns:a14="http://schemas.microsoft.com/office/drawing/2010/main" Requires="a14">
        <xdr:graphicFrame macro="">
          <xdr:nvGraphicFramePr>
            <xdr:cNvPr id="27" name="Date (Month)">
              <a:extLst>
                <a:ext uri="{FF2B5EF4-FFF2-40B4-BE49-F238E27FC236}">
                  <a16:creationId xmlns:a16="http://schemas.microsoft.com/office/drawing/2014/main" id="{57093FB6-496F-4D5D-88E8-5BA69D6D68A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53079" y="663344"/>
              <a:ext cx="603820" cy="2712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110551</xdr:colOff>
      <xdr:row>5</xdr:row>
      <xdr:rowOff>34018</xdr:rowOff>
    </xdr:from>
    <xdr:to>
      <xdr:col>3</xdr:col>
      <xdr:colOff>272144</xdr:colOff>
      <xdr:row>9</xdr:row>
      <xdr:rowOff>119063</xdr:rowOff>
    </xdr:to>
    <xdr:graphicFrame macro="">
      <xdr:nvGraphicFramePr>
        <xdr:cNvPr id="29" name="Chart 28">
          <a:hlinkClick xmlns:r="http://schemas.openxmlformats.org/officeDocument/2006/relationships" r:id="rId8"/>
          <a:extLst>
            <a:ext uri="{FF2B5EF4-FFF2-40B4-BE49-F238E27FC236}">
              <a16:creationId xmlns:a16="http://schemas.microsoft.com/office/drawing/2014/main" id="{228EBF59-8B5D-44F2-91F9-ECCADFFFA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42521</xdr:colOff>
      <xdr:row>5</xdr:row>
      <xdr:rowOff>85042</xdr:rowOff>
    </xdr:from>
    <xdr:to>
      <xdr:col>5</xdr:col>
      <xdr:colOff>195604</xdr:colOff>
      <xdr:row>9</xdr:row>
      <xdr:rowOff>119060</xdr:rowOff>
    </xdr:to>
    <xdr:graphicFrame macro="">
      <xdr:nvGraphicFramePr>
        <xdr:cNvPr id="30" name="Chart 29">
          <a:hlinkClick xmlns:r="http://schemas.openxmlformats.org/officeDocument/2006/relationships" r:id="rId10"/>
          <a:extLst>
            <a:ext uri="{FF2B5EF4-FFF2-40B4-BE49-F238E27FC236}">
              <a16:creationId xmlns:a16="http://schemas.microsoft.com/office/drawing/2014/main" id="{DF4BDA6D-C651-4999-9080-2399EA540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569797</xdr:colOff>
      <xdr:row>4</xdr:row>
      <xdr:rowOff>136072</xdr:rowOff>
    </xdr:from>
    <xdr:to>
      <xdr:col>7</xdr:col>
      <xdr:colOff>119064</xdr:colOff>
      <xdr:row>9</xdr:row>
      <xdr:rowOff>110551</xdr:rowOff>
    </xdr:to>
    <xdr:graphicFrame macro="">
      <xdr:nvGraphicFramePr>
        <xdr:cNvPr id="31" name="Chart 30">
          <a:hlinkClick xmlns:r="http://schemas.openxmlformats.org/officeDocument/2006/relationships" r:id="rId12"/>
          <a:extLst>
            <a:ext uri="{FF2B5EF4-FFF2-40B4-BE49-F238E27FC236}">
              <a16:creationId xmlns:a16="http://schemas.microsoft.com/office/drawing/2014/main" id="{42BAEE57-6559-4BC2-B067-158748957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255137</xdr:colOff>
          <xdr:row>9</xdr:row>
          <xdr:rowOff>34016</xdr:rowOff>
        </xdr:from>
        <xdr:to>
          <xdr:col>6</xdr:col>
          <xdr:colOff>586293</xdr:colOff>
          <xdr:row>11</xdr:row>
          <xdr:rowOff>136069</xdr:rowOff>
        </xdr:to>
        <xdr:pic>
          <xdr:nvPicPr>
            <xdr:cNvPr id="28" name="Picture 27">
              <a:extLst>
                <a:ext uri="{FF2B5EF4-FFF2-40B4-BE49-F238E27FC236}">
                  <a16:creationId xmlns:a16="http://schemas.microsoft.com/office/drawing/2014/main" id="{0D437772-1372-4FD5-1005-2D8DA0A39035}"/>
                </a:ext>
              </a:extLst>
            </xdr:cNvPr>
            <xdr:cNvPicPr>
              <a:picLocks noChangeAspect="1" noChangeArrowheads="1"/>
              <a:extLst>
                <a:ext uri="{84589F7E-364E-4C9E-8A38-B11213B215E9}">
                  <a14:cameraTool cellRange="'Pivot Report'!$A$43:$D$45" spid="_x0000_s2062"/>
                </a:ext>
              </a:extLst>
            </xdr:cNvPicPr>
          </xdr:nvPicPr>
          <xdr:blipFill>
            <a:blip xmlns:r="http://schemas.openxmlformats.org/officeDocument/2006/relationships" r:embed="rId14"/>
            <a:srcRect/>
            <a:stretch>
              <a:fillRect/>
            </a:stretch>
          </xdr:blipFill>
          <xdr:spPr bwMode="auto">
            <a:xfrm>
              <a:off x="867458" y="1717900"/>
              <a:ext cx="3392764" cy="47624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408214</xdr:colOff>
      <xdr:row>12</xdr:row>
      <xdr:rowOff>25514</xdr:rowOff>
    </xdr:from>
    <xdr:to>
      <xdr:col>6</xdr:col>
      <xdr:colOff>450736</xdr:colOff>
      <xdr:row>17</xdr:row>
      <xdr:rowOff>42523</xdr:rowOff>
    </xdr:to>
    <xdr:graphicFrame macro="">
      <xdr:nvGraphicFramePr>
        <xdr:cNvPr id="32" name="Chart 31">
          <a:extLst>
            <a:ext uri="{FF2B5EF4-FFF2-40B4-BE49-F238E27FC236}">
              <a16:creationId xmlns:a16="http://schemas.microsoft.com/office/drawing/2014/main" id="{1F5ADA9D-8FE5-4981-97FC-226191870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391204</xdr:colOff>
      <xdr:row>17</xdr:row>
      <xdr:rowOff>17010</xdr:rowOff>
    </xdr:from>
    <xdr:to>
      <xdr:col>5</xdr:col>
      <xdr:colOff>323169</xdr:colOff>
      <xdr:row>18</xdr:row>
      <xdr:rowOff>93549</xdr:rowOff>
    </xdr:to>
    <xdr:sp macro="" textlink="">
      <xdr:nvSpPr>
        <xdr:cNvPr id="34" name="TextBox 33">
          <a:extLst>
            <a:ext uri="{FF2B5EF4-FFF2-40B4-BE49-F238E27FC236}">
              <a16:creationId xmlns:a16="http://schemas.microsoft.com/office/drawing/2014/main" id="{4E59F44C-CAA6-6C10-716B-96211A8A0621}"/>
            </a:ext>
          </a:extLst>
        </xdr:cNvPr>
        <xdr:cNvSpPr txBox="1"/>
      </xdr:nvSpPr>
      <xdr:spPr>
        <a:xfrm>
          <a:off x="1615847" y="3197680"/>
          <a:ext cx="1768929" cy="263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No.</a:t>
          </a:r>
          <a:r>
            <a:rPr lang="en-US" sz="1000" baseline="0"/>
            <a:t> of Patients by Age Group</a:t>
          </a:r>
          <a:endParaRPr lang="en-US" sz="1000"/>
        </a:p>
      </xdr:txBody>
    </xdr:sp>
    <xdr:clientData/>
  </xdr:twoCellAnchor>
  <xdr:twoCellAnchor>
    <xdr:from>
      <xdr:col>6</xdr:col>
      <xdr:colOff>280646</xdr:colOff>
      <xdr:row>0</xdr:row>
      <xdr:rowOff>85045</xdr:rowOff>
    </xdr:from>
    <xdr:to>
      <xdr:col>9</xdr:col>
      <xdr:colOff>255132</xdr:colOff>
      <xdr:row>6</xdr:row>
      <xdr:rowOff>68035</xdr:rowOff>
    </xdr:to>
    <xdr:graphicFrame macro="">
      <xdr:nvGraphicFramePr>
        <xdr:cNvPr id="35" name="Chart 34">
          <a:extLst>
            <a:ext uri="{FF2B5EF4-FFF2-40B4-BE49-F238E27FC236}">
              <a16:creationId xmlns:a16="http://schemas.microsoft.com/office/drawing/2014/main" id="{0AAAE39B-FBD4-4F68-A552-94A061486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85045</xdr:colOff>
      <xdr:row>6</xdr:row>
      <xdr:rowOff>17008</xdr:rowOff>
    </xdr:from>
    <xdr:to>
      <xdr:col>8</xdr:col>
      <xdr:colOff>527277</xdr:colOff>
      <xdr:row>7</xdr:row>
      <xdr:rowOff>34016</xdr:rowOff>
    </xdr:to>
    <xdr:sp macro="" textlink="">
      <xdr:nvSpPr>
        <xdr:cNvPr id="37" name="TextBox 36">
          <a:extLst>
            <a:ext uri="{FF2B5EF4-FFF2-40B4-BE49-F238E27FC236}">
              <a16:creationId xmlns:a16="http://schemas.microsoft.com/office/drawing/2014/main" id="{E338D195-BABD-EF70-AF3F-4A9CC2508EBF}"/>
            </a:ext>
          </a:extLst>
        </xdr:cNvPr>
        <xdr:cNvSpPr txBox="1"/>
      </xdr:nvSpPr>
      <xdr:spPr>
        <a:xfrm>
          <a:off x="4371295" y="1139597"/>
          <a:ext cx="1054553" cy="20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Patient</a:t>
          </a:r>
          <a:r>
            <a:rPr lang="en-US" sz="800" baseline="0"/>
            <a:t> Attend Status</a:t>
          </a:r>
          <a:endParaRPr lang="en-US" sz="800"/>
        </a:p>
      </xdr:txBody>
    </xdr:sp>
    <xdr:clientData/>
  </xdr:twoCellAnchor>
  <xdr:twoCellAnchor>
    <xdr:from>
      <xdr:col>9</xdr:col>
      <xdr:colOff>0</xdr:colOff>
      <xdr:row>6</xdr:row>
      <xdr:rowOff>17008</xdr:rowOff>
    </xdr:from>
    <xdr:to>
      <xdr:col>10</xdr:col>
      <xdr:colOff>527277</xdr:colOff>
      <xdr:row>7</xdr:row>
      <xdr:rowOff>68035</xdr:rowOff>
    </xdr:to>
    <xdr:sp macro="" textlink="">
      <xdr:nvSpPr>
        <xdr:cNvPr id="39" name="TextBox 38">
          <a:extLst>
            <a:ext uri="{FF2B5EF4-FFF2-40B4-BE49-F238E27FC236}">
              <a16:creationId xmlns:a16="http://schemas.microsoft.com/office/drawing/2014/main" id="{87EB956D-AAEF-F6D5-B87D-5CD9A71E84D1}"/>
            </a:ext>
          </a:extLst>
        </xdr:cNvPr>
        <xdr:cNvSpPr txBox="1"/>
      </xdr:nvSpPr>
      <xdr:spPr>
        <a:xfrm>
          <a:off x="5510893" y="1139597"/>
          <a:ext cx="1139598"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Gender Wise Analysis</a:t>
          </a:r>
        </a:p>
      </xdr:txBody>
    </xdr:sp>
    <xdr:clientData/>
  </xdr:twoCellAnchor>
  <xdr:twoCellAnchor>
    <xdr:from>
      <xdr:col>8</xdr:col>
      <xdr:colOff>518771</xdr:colOff>
      <xdr:row>0</xdr:row>
      <xdr:rowOff>34018</xdr:rowOff>
    </xdr:from>
    <xdr:to>
      <xdr:col>12</xdr:col>
      <xdr:colOff>450736</xdr:colOff>
      <xdr:row>7</xdr:row>
      <xdr:rowOff>144575</xdr:rowOff>
    </xdr:to>
    <xdr:graphicFrame macro="">
      <xdr:nvGraphicFramePr>
        <xdr:cNvPr id="40" name="Chart 39">
          <a:extLst>
            <a:ext uri="{FF2B5EF4-FFF2-40B4-BE49-F238E27FC236}">
              <a16:creationId xmlns:a16="http://schemas.microsoft.com/office/drawing/2014/main" id="{2DFA0B06-72D8-4929-BD65-B9852C213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59532</xdr:colOff>
      <xdr:row>6</xdr:row>
      <xdr:rowOff>85045</xdr:rowOff>
    </xdr:from>
    <xdr:to>
      <xdr:col>11</xdr:col>
      <xdr:colOff>8504</xdr:colOff>
      <xdr:row>16</xdr:row>
      <xdr:rowOff>119063</xdr:rowOff>
    </xdr:to>
    <xdr:graphicFrame macro="">
      <xdr:nvGraphicFramePr>
        <xdr:cNvPr id="41" name="Chart 40">
          <a:extLst>
            <a:ext uri="{FF2B5EF4-FFF2-40B4-BE49-F238E27FC236}">
              <a16:creationId xmlns:a16="http://schemas.microsoft.com/office/drawing/2014/main" id="{314AC6EB-3AFD-4864-AF01-2A7ADC9A4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110557</xdr:colOff>
      <xdr:row>16</xdr:row>
      <xdr:rowOff>178596</xdr:rowOff>
    </xdr:from>
    <xdr:to>
      <xdr:col>10</xdr:col>
      <xdr:colOff>510268</xdr:colOff>
      <xdr:row>18</xdr:row>
      <xdr:rowOff>68036</xdr:rowOff>
    </xdr:to>
    <xdr:sp macro="" textlink="">
      <xdr:nvSpPr>
        <xdr:cNvPr id="42" name="TextBox 41">
          <a:extLst>
            <a:ext uri="{FF2B5EF4-FFF2-40B4-BE49-F238E27FC236}">
              <a16:creationId xmlns:a16="http://schemas.microsoft.com/office/drawing/2014/main" id="{78ED660B-F64D-5FCB-95E8-A488EA246A07}"/>
            </a:ext>
          </a:extLst>
        </xdr:cNvPr>
        <xdr:cNvSpPr txBox="1"/>
      </xdr:nvSpPr>
      <xdr:spPr>
        <a:xfrm>
          <a:off x="4396807" y="3172167"/>
          <a:ext cx="2236675" cy="263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No.</a:t>
          </a:r>
          <a:r>
            <a:rPr lang="en-US" sz="1000" baseline="0"/>
            <a:t> of Patients by Department Referal</a:t>
          </a:r>
          <a:endParaRPr lang="en-US" sz="1000"/>
        </a:p>
      </xdr:txBody>
    </xdr:sp>
    <xdr:clientData/>
  </xdr:twoCellAnchor>
  <xdr:twoCellAnchor editAs="oneCell">
    <xdr:from>
      <xdr:col>4</xdr:col>
      <xdr:colOff>535781</xdr:colOff>
      <xdr:row>0</xdr:row>
      <xdr:rowOff>119061</xdr:rowOff>
    </xdr:from>
    <xdr:to>
      <xdr:col>6</xdr:col>
      <xdr:colOff>599871</xdr:colOff>
      <xdr:row>3</xdr:row>
      <xdr:rowOff>42522</xdr:rowOff>
    </xdr:to>
    <mc:AlternateContent xmlns:mc="http://schemas.openxmlformats.org/markup-compatibility/2006">
      <mc:Choice xmlns:a14="http://schemas.microsoft.com/office/drawing/2010/main" Requires="a14">
        <xdr:graphicFrame macro="">
          <xdr:nvGraphicFramePr>
            <xdr:cNvPr id="43" name="Date (Year) 1">
              <a:extLst>
                <a:ext uri="{FF2B5EF4-FFF2-40B4-BE49-F238E27FC236}">
                  <a16:creationId xmlns:a16="http://schemas.microsoft.com/office/drawing/2014/main" id="{D8F0B2C5-F78B-4854-96F0-9342E06A6DDF}"/>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2985067" y="119061"/>
              <a:ext cx="1288733" cy="484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43</xdr:row>
      <xdr:rowOff>28575</xdr:rowOff>
    </xdr:from>
    <xdr:to>
      <xdr:col>4</xdr:col>
      <xdr:colOff>9525</xdr:colOff>
      <xdr:row>44</xdr:row>
      <xdr:rowOff>171450</xdr:rowOff>
    </xdr:to>
    <xdr:graphicFrame macro="">
      <xdr:nvGraphicFramePr>
        <xdr:cNvPr id="3" name="Chart 2">
          <a:extLst>
            <a:ext uri="{FF2B5EF4-FFF2-40B4-BE49-F238E27FC236}">
              <a16:creationId xmlns:a16="http://schemas.microsoft.com/office/drawing/2014/main" id="{8180108E-8A2F-92F8-B14A-D7BC587E7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876300</xdr:colOff>
      <xdr:row>56</xdr:row>
      <xdr:rowOff>171450</xdr:rowOff>
    </xdr:from>
    <xdr:to>
      <xdr:col>3</xdr:col>
      <xdr:colOff>1009650</xdr:colOff>
      <xdr:row>70</xdr:row>
      <xdr:rowOff>171450</xdr:rowOff>
    </xdr:to>
    <mc:AlternateContent xmlns:mc="http://schemas.openxmlformats.org/markup-compatibility/2006">
      <mc:Choice xmlns:a14="http://schemas.microsoft.com/office/drawing/2010/main" Requires="a14">
        <xdr:graphicFrame macro="">
          <xdr:nvGraphicFramePr>
            <xdr:cNvPr id="10" name="Date (Year)">
              <a:extLst>
                <a:ext uri="{FF2B5EF4-FFF2-40B4-BE49-F238E27FC236}">
                  <a16:creationId xmlns:a16="http://schemas.microsoft.com/office/drawing/2014/main" id="{0A33F217-8D11-17F6-0A7E-81181DFF294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019300" y="108394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590550</xdr:colOff>
      <xdr:row>14</xdr:row>
      <xdr:rowOff>161925</xdr:rowOff>
    </xdr:to>
    <xdr:graphicFrame macro="">
      <xdr:nvGraphicFramePr>
        <xdr:cNvPr id="3" name="Chart 2">
          <a:extLst>
            <a:ext uri="{FF2B5EF4-FFF2-40B4-BE49-F238E27FC236}">
              <a16:creationId xmlns:a16="http://schemas.microsoft.com/office/drawing/2014/main" id="{D0919F5C-BCA2-44FB-B48D-7B692F419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xdr:colOff>
      <xdr:row>0</xdr:row>
      <xdr:rowOff>171450</xdr:rowOff>
    </xdr:from>
    <xdr:to>
      <xdr:col>0</xdr:col>
      <xdr:colOff>590550</xdr:colOff>
      <xdr:row>3</xdr:row>
      <xdr:rowOff>133350</xdr:rowOff>
    </xdr:to>
    <xdr:pic>
      <xdr:nvPicPr>
        <xdr:cNvPr id="5" name="Graphic 4" descr="Arrow: Straight with solid fill">
          <a:hlinkClick xmlns:r="http://schemas.openxmlformats.org/officeDocument/2006/relationships" r:id="rId2"/>
          <a:extLst>
            <a:ext uri="{FF2B5EF4-FFF2-40B4-BE49-F238E27FC236}">
              <a16:creationId xmlns:a16="http://schemas.microsoft.com/office/drawing/2014/main" id="{333515FB-3ED8-F11B-01A0-2DDB1E8253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150" y="171450"/>
          <a:ext cx="533400" cy="533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542924</xdr:colOff>
      <xdr:row>16</xdr:row>
      <xdr:rowOff>0</xdr:rowOff>
    </xdr:to>
    <xdr:graphicFrame macro="">
      <xdr:nvGraphicFramePr>
        <xdr:cNvPr id="2" name="Chart 1">
          <a:extLst>
            <a:ext uri="{FF2B5EF4-FFF2-40B4-BE49-F238E27FC236}">
              <a16:creationId xmlns:a16="http://schemas.microsoft.com/office/drawing/2014/main" id="{C2371E78-B50F-4B44-B0D1-F704206EF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0.00521</cdr:x>
      <cdr:y>0.05625</cdr:y>
    </cdr:from>
    <cdr:to>
      <cdr:x>0.10938</cdr:x>
      <cdr:y>0.24375</cdr:y>
    </cdr:to>
    <cdr:pic>
      <cdr:nvPicPr>
        <cdr:cNvPr id="3" name="Graphic 2" descr="Arrow: Straight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8AC477B-4AF6-8435-B68C-9BF7D1EDA19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8575" y="171450"/>
          <a:ext cx="571500" cy="5715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19050</xdr:colOff>
      <xdr:row>15</xdr:row>
      <xdr:rowOff>95250</xdr:rowOff>
    </xdr:to>
    <xdr:graphicFrame macro="">
      <xdr:nvGraphicFramePr>
        <xdr:cNvPr id="2" name="Chart 1">
          <a:extLst>
            <a:ext uri="{FF2B5EF4-FFF2-40B4-BE49-F238E27FC236}">
              <a16:creationId xmlns:a16="http://schemas.microsoft.com/office/drawing/2014/main" id="{9F5E207F-E2B3-40CF-A1AA-AA4BE27CF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66675</xdr:colOff>
      <xdr:row>0</xdr:row>
      <xdr:rowOff>171450</xdr:rowOff>
    </xdr:from>
    <xdr:to>
      <xdr:col>1</xdr:col>
      <xdr:colOff>38100</xdr:colOff>
      <xdr:row>3</xdr:row>
      <xdr:rowOff>180975</xdr:rowOff>
    </xdr:to>
    <xdr:pic>
      <xdr:nvPicPr>
        <xdr:cNvPr id="4" name="Graphic 3" descr="Arrow: Straight with solid fill">
          <a:hlinkClick xmlns:r="http://schemas.openxmlformats.org/officeDocument/2006/relationships" r:id="rId2"/>
          <a:extLst>
            <a:ext uri="{FF2B5EF4-FFF2-40B4-BE49-F238E27FC236}">
              <a16:creationId xmlns:a16="http://schemas.microsoft.com/office/drawing/2014/main" id="{16FC1B1B-2CED-BC0B-644D-07F8EBD724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675" y="171450"/>
          <a:ext cx="581025" cy="5810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57638886" createdVersion="5" refreshedVersion="8" minRefreshableVersion="3" recordCount="0" supportSubquery="1" supportAdvancedDrill="1" xr:uid="{A464F963-195B-49CC-B45B-A0FB97BA361C}">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58101855" createdVersion="5" refreshedVersion="8" minRefreshableVersion="3" recordCount="0" supportSubquery="1" supportAdvancedDrill="1" xr:uid="{4D327FD8-1F26-45E9-9C09-EBAD14FA472D}">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 Time"/>
      </sharedItems>
    </cacheField>
    <cacheField name="[Measures].[Count of Patient Attend Status]" caption="Count of Patient Attend Status"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58796294" createdVersion="5" refreshedVersion="8" minRefreshableVersion="3" recordCount="0" supportSubquery="1" supportAdvancedDrill="1" xr:uid="{8BE1503F-8D8F-4A17-8081-17C2212A2F6D}">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59143517" createdVersion="5" refreshedVersion="8" minRefreshableVersion="3" recordCount="0" supportSubquery="1" supportAdvancedDrill="1" xr:uid="{EE5945D2-51E2-4188-9F07-80A848FB1B95}">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59490741" createdVersion="5" refreshedVersion="8" minRefreshableVersion="3" recordCount="0" supportSubquery="1" supportAdvancedDrill="1" xr:uid="{302C878A-3DA8-46B1-B224-53E23E1ED38F}">
  <cacheSource type="external" connectionId="3"/>
  <cacheFields count="3">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59722225" createdVersion="5" refreshedVersion="8" minRefreshableVersion="3" recordCount="0" supportSubquery="1" supportAdvancedDrill="1" xr:uid="{D1BEEF25-2E3E-4576-AC3A-7B06EB67CF55}">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60069441" createdVersion="5" refreshedVersion="8" minRefreshableVersion="3" recordCount="0" supportSubquery="1" supportAdvancedDrill="1" xr:uid="{BE445C77-249E-4AE4-917C-0CFCC5C281AA}">
  <cacheSource type="external" connectionId="3"/>
  <cacheFields count="3">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6053241" createdVersion="5" refreshedVersion="8" minRefreshableVersion="3" recordCount="0" supportSubquery="1" supportAdvancedDrill="1" xr:uid="{99A0CE0C-D552-4ED7-9CB0-BA45E1164813}">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60995372" createdVersion="5" refreshedVersion="8" minRefreshableVersion="3" recordCount="0" supportSubquery="1" supportAdvancedDrill="1" xr:uid="{07105618-122B-4A5B-A853-B7D7EB18AF48}">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61458334" createdVersion="5" refreshedVersion="8" minRefreshableVersion="3" recordCount="0" supportSubquery="1" supportAdvancedDrill="1" xr:uid="{607EF35D-0D5E-438E-9161-3ECDAB40784D}">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Measures].[Count of Patient Admission Flag]" caption="Count of Patient Admission Flag" numFmtId="0" hierarchy="31" level="32767"/>
    <cacheField name="[Calender_Table].[Date (Year)].[Date (Year)]" caption="Date (Year)" numFmtId="0" hierarchy="3"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61921296" createdVersion="5" refreshedVersion="8" minRefreshableVersion="3" recordCount="0" supportSubquery="1" supportAdvancedDrill="1" xr:uid="{1B90E4D4-A9FD-4383-AC20-69866A10B2BA}">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09"/>
        <s v="10-19"/>
        <s v="20-29"/>
        <s v="30-39"/>
        <s v="40-49"/>
        <s v="50-59"/>
        <s v="60-69"/>
        <s v="70-79"/>
      </sharedItems>
    </cacheField>
    <cacheField name="[Measures].[Count of Age Group]" caption="Count of Age Group" numFmtId="0" hierarchy="32"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95362384258" createdVersion="5" refreshedVersion="8" minRefreshableVersion="3" recordCount="0" supportSubquery="1" supportAdvancedDrill="1" xr:uid="{859FE1C3-02F8-4E18-9D20-A2799F5C436A}">
  <cacheSource type="external" connectionId="3"/>
  <cacheFields count="4">
    <cacheField name="[Calender_Table].[Date (Month)].[Date (Month)]" caption="Date (Month)" numFmtId="0" hierarchy="1" level="1">
      <sharedItems count="1">
        <s v="Jun"/>
      </sharedItems>
    </cacheField>
    <cacheField name="[Calende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5.588523611113" createdVersion="3" refreshedVersion="8" minRefreshableVersion="3" recordCount="0" supportSubquery="1" supportAdvancedDrill="1" xr:uid="{4B1E5C16-0274-4F3F-A154-17251AA72DD1}">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3905416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A7AAF9-D53B-4901-A9DA-6283603BDA7F}" name="PivotTable13" cacheId="464" applyNumberFormats="0" applyBorderFormats="0" applyFontFormats="0" applyPatternFormats="0" applyAlignmentFormats="0" applyWidthHeightFormats="1" dataCaption="Values" tag="12d7d284-f1db-4821-bf11-e31e4d38cc51" updatedVersion="8" minRefreshableVersion="3" subtotalHiddenItems="1" itemPrintTitles="1" createdVersion="5" indent="0" outline="1" outlineData="1" multipleFieldFilters="0" chartFormat="13">
  <location ref="A61:A6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1">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24C971-6174-4F95-861B-381BDAFC33CE}" name="PivotTable12" cacheId="447" applyNumberFormats="0" applyBorderFormats="0" applyFontFormats="0" applyPatternFormats="0" applyAlignmentFormats="0" applyWidthHeightFormats="1" dataCaption="Values" tag="12d7d284-f1db-4821-bf11-e31e4d38cc51" updatedVersion="8" minRefreshableVersion="3" subtotalHiddenItems="1" itemPrintTitles="1" createdVersion="5" indent="0" outline="1" outlineData="1" multipleFieldFilters="0" chartFormat="38">
  <location ref="F40:G4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3">
    <format dxfId="102">
      <pivotArea outline="0" collapsedLevelsAreSubtotals="1" fieldPosition="0"/>
    </format>
    <format dxfId="103">
      <pivotArea dataOnly="0" labelOnly="1" outline="0" axis="axisValues" fieldPosition="0"/>
    </format>
    <format dxfId="104">
      <pivotArea collapsedLevelsAreSubtotals="1" fieldPosition="0">
        <references count="1">
          <reference field="1" count="0"/>
        </references>
      </pivotArea>
    </format>
  </formats>
  <chartFormats count="1">
    <chartFormat chart="3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C917BC-9DCF-41CC-9CE9-5501D0B54A8A}" name="PivotTable11" cacheId="445" applyNumberFormats="0" applyBorderFormats="0" applyFontFormats="0" applyPatternFormats="0" applyAlignmentFormats="0" applyWidthHeightFormats="1" dataCaption="Values" tag="12d7d284-f1db-4821-bf11-e31e4d38cc51" updatedVersion="8" minRefreshableVersion="3" subtotalHiddenItems="1" itemPrintTitles="1" createdVersion="5" indent="0" outline="1" outlineData="1" multipleFieldFilters="0" chartFormat="33">
  <location ref="F60:G63"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105">
      <pivotArea outline="0" collapsedLevelsAreSubtotals="1" fieldPosition="0"/>
    </format>
    <format dxfId="106">
      <pivotArea dataOnly="0" labelOnly="1" outline="0" axis="axisValues" fieldPosition="0"/>
    </format>
    <format dxfId="107">
      <pivotArea collapsedLevelsAreSubtotals="1" fieldPosition="0">
        <references count="1">
          <reference field="1" count="0"/>
        </references>
      </pivotArea>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6F20F4-7C70-4061-8F7F-398872614C6D}" name="PivotTable10" cacheId="443" applyNumberFormats="0" applyBorderFormats="0" applyFontFormats="0" applyPatternFormats="0" applyAlignmentFormats="0" applyWidthHeightFormats="1" dataCaption="Values" tag="12d7d284-f1db-4821-bf11-e31e4d38cc51" updatedVersion="8" minRefreshableVersion="3" subtotalHiddenItems="1" itemPrintTitles="1" createdVersion="5" indent="0" outline="1" outlineData="1" multipleFieldFilters="0" chartFormat="20">
  <location ref="F53:G56"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4">
    <format dxfId="108">
      <pivotArea outline="0" collapsedLevelsAreSubtotals="1" fieldPosition="0"/>
    </format>
    <format dxfId="109">
      <pivotArea collapsedLevelsAreSubtotals="1" fieldPosition="0">
        <references count="1">
          <reference field="1" count="1">
            <x v="1"/>
          </reference>
        </references>
      </pivotArea>
    </format>
    <format dxfId="110">
      <pivotArea dataOnly="0" labelOnly="1" outline="0" axis="axisValues" fieldPosition="0"/>
    </format>
    <format dxfId="111">
      <pivotArea collapsedLevelsAreSubtotals="1" fieldPosition="0">
        <references count="1">
          <reference field="1" count="1">
            <x v="1"/>
          </reference>
        </references>
      </pivotArea>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F64FF4-B81E-4072-A0E5-B3A15EF1892B}" name="PivotTable9" cacheId="461" applyNumberFormats="0" applyBorderFormats="0" applyFontFormats="0" applyPatternFormats="0" applyAlignmentFormats="0" applyWidthHeightFormats="1" dataCaption="Values" tag="12d7d284-f1db-4821-bf11-e31e4d38cc51" updatedVersion="8" minRefreshableVersion="3" subtotalHiddenItems="1" itemPrintTitles="1" createdVersion="5" indent="0" outline="1" outlineData="1" multipleFieldFilters="0" chartFormat="13">
  <location ref="A48: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12">
      <pivotArea outline="0" collapsedLevelsAreSubtotals="1" fieldPosition="0"/>
    </format>
    <format dxfId="113">
      <pivotArea collapsedLevelsAreSubtotals="1" fieldPosition="0">
        <references count="1">
          <reference field="1" count="0"/>
        </references>
      </pivotArea>
    </format>
  </formats>
  <chartFormats count="1">
    <chartFormat chart="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2AF5C6-7992-4596-9BFD-09A7B69AAB14}" name="PivotTable8" cacheId="459" applyNumberFormats="0" applyBorderFormats="0" applyFontFormats="0" applyPatternFormats="0" applyAlignmentFormats="0" applyWidthHeightFormats="1" dataCaption="Values" tag="12d7d284-f1db-4821-bf11-e31e4d38cc51" updatedVersion="8" minRefreshableVersion="3" subtotalHiddenItems="1" itemPrintTitles="1" createdVersion="5" indent="0" outline="1" outlineData="1" multipleFieldFilters="0" chartFormat="6">
  <location ref="A37:C4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114">
      <pivotArea outline="0" collapsedLevelsAreSubtotals="1" fieldPosition="0"/>
    </format>
    <format dxfId="115">
      <pivotArea collapsedLevelsAreSubtotals="1" fieldPosition="0">
        <references count="1">
          <reference field="1" count="1">
            <x v="0"/>
          </reference>
        </references>
      </pivotArea>
    </format>
    <format dxfId="116">
      <pivotArea collapsedLevelsAreSubtotals="1" fieldPosition="0">
        <references count="1">
          <reference field="1" count="1">
            <x v="1"/>
          </reference>
        </references>
      </pivotArea>
    </format>
    <format dxfId="117">
      <pivotArea outline="0" fieldPosition="0">
        <references count="1">
          <reference field="4294967294" count="1">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EE3316-8489-49B7-ADA8-0BA3F74DD89B}" name="PivotTable7" cacheId="457" applyNumberFormats="0" applyBorderFormats="0" applyFontFormats="0" applyPatternFormats="0" applyAlignmentFormats="0" applyWidthHeightFormats="1" dataCaption="Values" tag="184af06e-3ece-49a7-a196-9e38d1d0c370" updatedVersion="8" minRefreshableVersion="3" subtotalHiddenItems="1" itemPrintTitles="1" createdVersion="5" indent="0" outline="1" outlineData="1" multipleFieldFilters="0" chartFormat="43">
  <location ref="K5:L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18">
      <pivotArea collapsedLevelsAreSubtotals="1" fieldPosition="0">
        <references count="1">
          <reference field="0" count="0"/>
        </references>
      </pivotArea>
    </format>
  </formats>
  <chartFormats count="4">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516F68-B421-4481-95CB-ED26DF325B9E}" name="PivotTable2" cacheId="449" applyNumberFormats="0" applyBorderFormats="0" applyFontFormats="0" applyPatternFormats="0" applyAlignmentFormats="0" applyWidthHeightFormats="1" dataCaption="Values" tag="184af06e-3ece-49a7-a196-9e38d1d0c370"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9984A9-A0C8-461C-AD41-AE7D2DF004B1}" name="PivotTable5" cacheId="455" applyNumberFormats="0" applyBorderFormats="0" applyFontFormats="0" applyPatternFormats="0" applyAlignmentFormats="0" applyWidthHeightFormats="1" dataCaption="Values" tag="184af06e-3ece-49a7-a196-9e38d1d0c370" updatedVersion="8" minRefreshableVersion="3" subtotalHiddenItems="1" itemPrintTitles="1" createdVersion="5" indent="0" outline="1" outlineData="1" multipleFieldFilters="0" chartFormat="30">
  <location ref="G5:H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19">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B9488D-3EB5-4686-ABBF-34D485B7DB1F}" name="PivotTable1" cacheId="441" applyNumberFormats="0" applyBorderFormats="0" applyFontFormats="0" applyPatternFormats="0" applyAlignmentFormats="0" applyWidthHeightFormats="1" dataCaption="Values" tag="184af06e-3ece-49a7-a196-9e38d1d0c370" updatedVersion="8" minRefreshableVersion="3" subtotalHiddenItems="1" itemPrintTitles="1" createdVersion="5" indent="0" outline="1" outlineData="1" multipleFieldFilters="0" chartFormat="18">
  <location ref="C4:D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2">
    <chartFormat chart="4"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B2078B-D961-4141-9867-C0A02F3EB7E2}" name="PivotTable4" cacheId="453" applyNumberFormats="0" applyBorderFormats="0" applyFontFormats="0" applyPatternFormats="0" applyAlignmentFormats="0" applyWidthHeightFormats="1" dataCaption="Values" tag="12d7d284-f1db-4821-bf11-e31e4d38cc51" updatedVersion="8" minRefreshableVersion="3" subtotalHiddenItems="1" itemPrintTitles="1" createdVersion="5" indent="0" outline="1" outlineData="1" multipleFieldFilters="0">
  <location ref="A10:A11"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1" subtotal="average" baseField="0" baseItem="0"/>
  </dataFields>
  <formats count="1">
    <format dxfId="120">
      <pivotArea outline="0" collapsedLevelsAreSubtotals="1" fieldPosition="0"/>
    </format>
  </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3E7DA2-23AD-4674-8D86-972D72F40E5D}" name="PivotTable3" cacheId="451" applyNumberFormats="0" applyBorderFormats="0" applyFontFormats="0" applyPatternFormats="0" applyAlignmentFormats="0" applyWidthHeightFormats="1" dataCaption="Values" tag="3b202cfd-a8df-4498-b83f-e7e4336e34a7"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1">
      <pivotArea outline="0" collapsedLevelsAreSubtotals="1" fieldPosition="0"/>
    </format>
  </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A992EAC-4203-4B47-A2C3-B43E8275941D}" sourceName="[Calender_Table].[Date (Month)]">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2" name="PivotTable11"/>
    <pivotTable tabId="2" name="PivotTable12"/>
    <pivotTable tabId="2" name="PivotTable13"/>
  </pivotTables>
  <data>
    <olap pivotCacheId="139054169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10AE015-A6D0-48CD-A92C-A60B045A6D02}" sourceName="[Calender_Table].[Date (Year)]">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7"/>
    <pivotTable tabId="2" name="PivotTable8"/>
    <pivotTable tabId="2" name="PivotTable9"/>
  </pivotTables>
  <data>
    <olap pivotCacheId="139054169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B7C9FA9-5F9D-4BA8-AE77-7F654F952A5B}" cache="Slicer_Date__Month" caption="Date (Month)" showCaption="0" level="1" style="s" rowHeight="182880"/>
  <slicer name="Date (Year) 1" xr10:uid="{1ABF9954-0481-4912-9AED-E0A9B58F8E15}" cache="Slicer_Date__Year" caption="Date (Year)" columnCount="2" showCaption="0" level="1" style="s"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C017BF06-7085-4F15-B9DB-937F66EBD5BD}" cache="Slicer_Date__Year" caption="Date (Year)"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0A90-8751-4B37-B6AD-917136A630EC}">
  <dimension ref="A6:A43"/>
  <sheetViews>
    <sheetView tabSelected="1" zoomScale="112" zoomScaleNormal="112" workbookViewId="0">
      <selection activeCell="N11" sqref="N11"/>
    </sheetView>
  </sheetViews>
  <sheetFormatPr defaultRowHeight="15" x14ac:dyDescent="0.25"/>
  <cols>
    <col min="1" max="16384" width="9.140625" style="4"/>
  </cols>
  <sheetData>
    <row r="6" spans="1:1" x14ac:dyDescent="0.25">
      <c r="A6" s="3"/>
    </row>
    <row r="7" spans="1:1" x14ac:dyDescent="0.25">
      <c r="A7" s="3"/>
    </row>
    <row r="8" spans="1:1" x14ac:dyDescent="0.25">
      <c r="A8" s="3"/>
    </row>
    <row r="9" spans="1:1" x14ac:dyDescent="0.25">
      <c r="A9" s="3"/>
    </row>
    <row r="10" spans="1:1" x14ac:dyDescent="0.25">
      <c r="A10" s="3"/>
    </row>
    <row r="11" spans="1:1" x14ac:dyDescent="0.25">
      <c r="A11" s="3"/>
    </row>
    <row r="12" spans="1:1" x14ac:dyDescent="0.25">
      <c r="A12" s="3"/>
    </row>
    <row r="13" spans="1:1" x14ac:dyDescent="0.25">
      <c r="A13" s="3"/>
    </row>
    <row r="14" spans="1:1" x14ac:dyDescent="0.25">
      <c r="A14" s="3"/>
    </row>
    <row r="15" spans="1:1" x14ac:dyDescent="0.25">
      <c r="A15" s="3"/>
    </row>
    <row r="16" spans="1:1" x14ac:dyDescent="0.25">
      <c r="A16" s="3"/>
    </row>
    <row r="17" spans="1:1" x14ac:dyDescent="0.25">
      <c r="A17" s="3"/>
    </row>
    <row r="18" spans="1:1" x14ac:dyDescent="0.25">
      <c r="A18" s="3"/>
    </row>
    <row r="19" spans="1:1" x14ac:dyDescent="0.25">
      <c r="A19" s="3"/>
    </row>
    <row r="20" spans="1:1" x14ac:dyDescent="0.25">
      <c r="A20" s="3"/>
    </row>
    <row r="21" spans="1:1" x14ac:dyDescent="0.25">
      <c r="A21" s="3"/>
    </row>
    <row r="22" spans="1:1" x14ac:dyDescent="0.25">
      <c r="A22" s="3"/>
    </row>
    <row r="23" spans="1:1" x14ac:dyDescent="0.25">
      <c r="A23" s="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43443-694C-4C01-897F-EC35CA96369A}">
  <dimension ref="A3:L63"/>
  <sheetViews>
    <sheetView topLeftCell="A51" zoomScaleNormal="100" workbookViewId="0">
      <selection activeCell="A62" sqref="A62"/>
    </sheetView>
  </sheetViews>
  <sheetFormatPr defaultRowHeight="15" x14ac:dyDescent="0.25"/>
  <cols>
    <col min="1" max="1" width="17.140625" customWidth="1"/>
    <col min="2" max="2" width="14.140625" customWidth="1"/>
    <col min="3" max="3" width="11.28515625" customWidth="1"/>
    <col min="4" max="4" width="19.42578125" customWidth="1"/>
    <col min="7" max="7" width="45.140625" bestFit="1" customWidth="1"/>
    <col min="8" max="8" width="41.42578125" bestFit="1" customWidth="1"/>
    <col min="11" max="11" width="21.85546875" bestFit="1" customWidth="1"/>
    <col min="12" max="12" width="41.42578125" bestFit="1" customWidth="1"/>
  </cols>
  <sheetData>
    <row r="3" spans="1:12" x14ac:dyDescent="0.25">
      <c r="A3" t="s">
        <v>1</v>
      </c>
    </row>
    <row r="4" spans="1:12" x14ac:dyDescent="0.25">
      <c r="A4" t="s">
        <v>0</v>
      </c>
      <c r="C4" s="5" t="s">
        <v>4</v>
      </c>
      <c r="D4" t="s">
        <v>0</v>
      </c>
    </row>
    <row r="5" spans="1:12" x14ac:dyDescent="0.25">
      <c r="A5" s="1">
        <v>485</v>
      </c>
      <c r="C5" s="6" t="s">
        <v>27</v>
      </c>
      <c r="D5" s="1">
        <v>17</v>
      </c>
      <c r="G5" s="5" t="s">
        <v>4</v>
      </c>
      <c r="H5" t="s">
        <v>2</v>
      </c>
      <c r="K5" s="5" t="s">
        <v>4</v>
      </c>
      <c r="L5" t="s">
        <v>3</v>
      </c>
    </row>
    <row r="6" spans="1:12" x14ac:dyDescent="0.25">
      <c r="C6" s="6" t="s">
        <v>28</v>
      </c>
      <c r="D6" s="1">
        <v>10</v>
      </c>
      <c r="G6" s="6" t="s">
        <v>27</v>
      </c>
      <c r="H6" s="2">
        <v>33.352941176470587</v>
      </c>
      <c r="K6" s="6" t="s">
        <v>27</v>
      </c>
      <c r="L6" s="2">
        <v>4.75</v>
      </c>
    </row>
    <row r="7" spans="1:12" x14ac:dyDescent="0.25">
      <c r="A7" t="s">
        <v>2</v>
      </c>
      <c r="C7" s="6" t="s">
        <v>29</v>
      </c>
      <c r="D7" s="1">
        <v>23</v>
      </c>
      <c r="G7" s="6" t="s">
        <v>28</v>
      </c>
      <c r="H7" s="2">
        <v>38.4</v>
      </c>
      <c r="K7" s="6" t="s">
        <v>28</v>
      </c>
      <c r="L7" s="2">
        <v>5.2</v>
      </c>
    </row>
    <row r="8" spans="1:12" x14ac:dyDescent="0.25">
      <c r="A8" s="2">
        <v>35.507216494845359</v>
      </c>
      <c r="C8" s="6" t="s">
        <v>30</v>
      </c>
      <c r="D8" s="1">
        <v>15</v>
      </c>
      <c r="G8" s="6" t="s">
        <v>29</v>
      </c>
      <c r="H8" s="2">
        <v>38.521739130434781</v>
      </c>
      <c r="K8" s="6" t="s">
        <v>29</v>
      </c>
      <c r="L8" s="2">
        <v>3.375</v>
      </c>
    </row>
    <row r="9" spans="1:12" x14ac:dyDescent="0.25">
      <c r="C9" s="6" t="s">
        <v>31</v>
      </c>
      <c r="D9" s="1">
        <v>14</v>
      </c>
      <c r="G9" s="6" t="s">
        <v>30</v>
      </c>
      <c r="H9" s="2">
        <v>30.4</v>
      </c>
      <c r="K9" s="6" t="s">
        <v>30</v>
      </c>
      <c r="L9" s="2">
        <v>5.8</v>
      </c>
    </row>
    <row r="10" spans="1:12" x14ac:dyDescent="0.25">
      <c r="A10" t="s">
        <v>3</v>
      </c>
      <c r="C10" s="6" t="s">
        <v>32</v>
      </c>
      <c r="D10" s="1">
        <v>11</v>
      </c>
      <c r="G10" s="6" t="s">
        <v>31</v>
      </c>
      <c r="H10" s="2">
        <v>33.142857142857146</v>
      </c>
      <c r="K10" s="6" t="s">
        <v>31</v>
      </c>
      <c r="L10" s="2">
        <v>4.375</v>
      </c>
    </row>
    <row r="11" spans="1:12" x14ac:dyDescent="0.25">
      <c r="A11" s="2">
        <v>4.7092198581560281</v>
      </c>
      <c r="C11" s="6" t="s">
        <v>33</v>
      </c>
      <c r="D11" s="1">
        <v>15</v>
      </c>
      <c r="G11" s="6" t="s">
        <v>32</v>
      </c>
      <c r="H11" s="2">
        <v>38.18181818181818</v>
      </c>
      <c r="K11" s="6" t="s">
        <v>32</v>
      </c>
      <c r="L11" s="2">
        <v>3</v>
      </c>
    </row>
    <row r="12" spans="1:12" x14ac:dyDescent="0.25">
      <c r="C12" s="6" t="s">
        <v>34</v>
      </c>
      <c r="D12" s="1">
        <v>20</v>
      </c>
      <c r="G12" s="6" t="s">
        <v>33</v>
      </c>
      <c r="H12" s="2">
        <v>39.733333333333334</v>
      </c>
      <c r="K12" s="6" t="s">
        <v>33</v>
      </c>
      <c r="L12" s="2">
        <v>5</v>
      </c>
    </row>
    <row r="13" spans="1:12" x14ac:dyDescent="0.25">
      <c r="C13" s="6" t="s">
        <v>35</v>
      </c>
      <c r="D13" s="1">
        <v>21</v>
      </c>
      <c r="G13" s="6" t="s">
        <v>34</v>
      </c>
      <c r="H13" s="2">
        <v>37</v>
      </c>
      <c r="K13" s="6" t="s">
        <v>34</v>
      </c>
      <c r="L13" s="2">
        <v>3</v>
      </c>
    </row>
    <row r="14" spans="1:12" x14ac:dyDescent="0.25">
      <c r="C14" s="6" t="s">
        <v>36</v>
      </c>
      <c r="D14" s="1">
        <v>17</v>
      </c>
      <c r="G14" s="6" t="s">
        <v>35</v>
      </c>
      <c r="H14" s="2">
        <v>35.61904761904762</v>
      </c>
      <c r="K14" s="6" t="s">
        <v>35</v>
      </c>
      <c r="L14" s="2">
        <v>4.9090909090909092</v>
      </c>
    </row>
    <row r="15" spans="1:12" x14ac:dyDescent="0.25">
      <c r="C15" s="6" t="s">
        <v>37</v>
      </c>
      <c r="D15" s="1">
        <v>17</v>
      </c>
      <c r="G15" s="6" t="s">
        <v>36</v>
      </c>
      <c r="H15" s="2">
        <v>34.176470588235297</v>
      </c>
      <c r="K15" s="6" t="s">
        <v>36</v>
      </c>
      <c r="L15" s="2">
        <v>3.8333333333333335</v>
      </c>
    </row>
    <row r="16" spans="1:12" x14ac:dyDescent="0.25">
      <c r="C16" s="6" t="s">
        <v>38</v>
      </c>
      <c r="D16" s="1">
        <v>17</v>
      </c>
      <c r="G16" s="6" t="s">
        <v>37</v>
      </c>
      <c r="H16" s="2">
        <v>37.176470588235297</v>
      </c>
      <c r="K16" s="6" t="s">
        <v>37</v>
      </c>
      <c r="L16" s="2">
        <v>3.875</v>
      </c>
    </row>
    <row r="17" spans="3:12" x14ac:dyDescent="0.25">
      <c r="C17" s="6" t="s">
        <v>39</v>
      </c>
      <c r="D17" s="1">
        <v>17</v>
      </c>
      <c r="G17" s="6" t="s">
        <v>38</v>
      </c>
      <c r="H17" s="2">
        <v>36.647058823529413</v>
      </c>
      <c r="K17" s="6" t="s">
        <v>38</v>
      </c>
      <c r="L17" s="2">
        <v>4.333333333333333</v>
      </c>
    </row>
    <row r="18" spans="3:12" x14ac:dyDescent="0.25">
      <c r="C18" s="6" t="s">
        <v>40</v>
      </c>
      <c r="D18" s="1">
        <v>11</v>
      </c>
      <c r="G18" s="6" t="s">
        <v>39</v>
      </c>
      <c r="H18" s="2">
        <v>34.941176470588232</v>
      </c>
      <c r="K18" s="6" t="s">
        <v>39</v>
      </c>
      <c r="L18" s="2">
        <v>3.5</v>
      </c>
    </row>
    <row r="19" spans="3:12" x14ac:dyDescent="0.25">
      <c r="C19" s="6" t="s">
        <v>41</v>
      </c>
      <c r="D19" s="1">
        <v>23</v>
      </c>
      <c r="G19" s="6" t="s">
        <v>40</v>
      </c>
      <c r="H19" s="2">
        <v>44</v>
      </c>
      <c r="K19" s="6" t="s">
        <v>40</v>
      </c>
      <c r="L19" s="2">
        <v>5.4</v>
      </c>
    </row>
    <row r="20" spans="3:12" x14ac:dyDescent="0.25">
      <c r="C20" s="6" t="s">
        <v>42</v>
      </c>
      <c r="D20" s="1">
        <v>14</v>
      </c>
      <c r="G20" s="6" t="s">
        <v>41</v>
      </c>
      <c r="H20" s="2">
        <v>38.913043478260867</v>
      </c>
      <c r="K20" s="6" t="s">
        <v>41</v>
      </c>
      <c r="L20" s="2">
        <v>5.375</v>
      </c>
    </row>
    <row r="21" spans="3:12" x14ac:dyDescent="0.25">
      <c r="C21" s="6" t="s">
        <v>43</v>
      </c>
      <c r="D21" s="1">
        <v>22</v>
      </c>
      <c r="G21" s="6" t="s">
        <v>42</v>
      </c>
      <c r="H21" s="2">
        <v>31</v>
      </c>
      <c r="K21" s="6" t="s">
        <v>42</v>
      </c>
      <c r="L21" s="2">
        <v>3.3333333333333335</v>
      </c>
    </row>
    <row r="22" spans="3:12" x14ac:dyDescent="0.25">
      <c r="C22" s="6" t="s">
        <v>44</v>
      </c>
      <c r="D22" s="1">
        <v>16</v>
      </c>
      <c r="G22" s="6" t="s">
        <v>43</v>
      </c>
      <c r="H22" s="2">
        <v>34.227272727272727</v>
      </c>
      <c r="K22" s="6" t="s">
        <v>43</v>
      </c>
      <c r="L22" s="2">
        <v>6.2</v>
      </c>
    </row>
    <row r="23" spans="3:12" x14ac:dyDescent="0.25">
      <c r="C23" s="6" t="s">
        <v>45</v>
      </c>
      <c r="D23" s="1">
        <v>13</v>
      </c>
      <c r="G23" s="6" t="s">
        <v>44</v>
      </c>
      <c r="H23" s="2">
        <v>31</v>
      </c>
      <c r="K23" s="6" t="s">
        <v>44</v>
      </c>
      <c r="L23" s="2">
        <v>1.6666666666666667</v>
      </c>
    </row>
    <row r="24" spans="3:12" x14ac:dyDescent="0.25">
      <c r="C24" s="6" t="s">
        <v>46</v>
      </c>
      <c r="D24" s="1">
        <v>14</v>
      </c>
      <c r="G24" s="6" t="s">
        <v>45</v>
      </c>
      <c r="H24" s="2">
        <v>32.153846153846153</v>
      </c>
      <c r="K24" s="6" t="s">
        <v>45</v>
      </c>
      <c r="L24" s="2">
        <v>4.5</v>
      </c>
    </row>
    <row r="25" spans="3:12" x14ac:dyDescent="0.25">
      <c r="C25" s="6" t="s">
        <v>47</v>
      </c>
      <c r="D25" s="1">
        <v>12</v>
      </c>
      <c r="G25" s="6" t="s">
        <v>46</v>
      </c>
      <c r="H25" s="2">
        <v>32.785714285714285</v>
      </c>
      <c r="K25" s="6" t="s">
        <v>46</v>
      </c>
      <c r="L25" s="2">
        <v>7.666666666666667</v>
      </c>
    </row>
    <row r="26" spans="3:12" x14ac:dyDescent="0.25">
      <c r="C26" s="6" t="s">
        <v>48</v>
      </c>
      <c r="D26" s="1">
        <v>12</v>
      </c>
      <c r="G26" s="6" t="s">
        <v>47</v>
      </c>
      <c r="H26" s="2">
        <v>30</v>
      </c>
      <c r="K26" s="6" t="s">
        <v>47</v>
      </c>
      <c r="L26" s="2">
        <v>4.4000000000000004</v>
      </c>
    </row>
    <row r="27" spans="3:12" x14ac:dyDescent="0.25">
      <c r="C27" s="6" t="s">
        <v>49</v>
      </c>
      <c r="D27" s="1">
        <v>20</v>
      </c>
      <c r="G27" s="6" t="s">
        <v>48</v>
      </c>
      <c r="H27" s="2">
        <v>33.5</v>
      </c>
      <c r="K27" s="6" t="s">
        <v>48</v>
      </c>
      <c r="L27" s="2">
        <v>6.5</v>
      </c>
    </row>
    <row r="28" spans="3:12" x14ac:dyDescent="0.25">
      <c r="C28" s="6" t="s">
        <v>50</v>
      </c>
      <c r="D28" s="1">
        <v>19</v>
      </c>
      <c r="G28" s="6" t="s">
        <v>49</v>
      </c>
      <c r="H28" s="2">
        <v>32.950000000000003</v>
      </c>
      <c r="K28" s="6" t="s">
        <v>49</v>
      </c>
      <c r="L28" s="2">
        <v>5</v>
      </c>
    </row>
    <row r="29" spans="3:12" x14ac:dyDescent="0.25">
      <c r="C29" s="6" t="s">
        <v>51</v>
      </c>
      <c r="D29" s="1">
        <v>13</v>
      </c>
      <c r="G29" s="6" t="s">
        <v>50</v>
      </c>
      <c r="H29" s="2">
        <v>35.842105263157897</v>
      </c>
      <c r="K29" s="6" t="s">
        <v>50</v>
      </c>
      <c r="L29" s="2">
        <v>5.25</v>
      </c>
    </row>
    <row r="30" spans="3:12" x14ac:dyDescent="0.25">
      <c r="C30" s="6" t="s">
        <v>52</v>
      </c>
      <c r="D30" s="1">
        <v>15</v>
      </c>
      <c r="G30" s="6" t="s">
        <v>51</v>
      </c>
      <c r="H30" s="2">
        <v>33.846153846153847</v>
      </c>
      <c r="K30" s="6" t="s">
        <v>51</v>
      </c>
      <c r="L30" s="2">
        <v>4.75</v>
      </c>
    </row>
    <row r="31" spans="3:12" x14ac:dyDescent="0.25">
      <c r="C31" s="6" t="s">
        <v>53</v>
      </c>
      <c r="D31" s="1">
        <v>19</v>
      </c>
      <c r="G31" s="6" t="s">
        <v>52</v>
      </c>
      <c r="H31" s="2">
        <v>39.06666666666667</v>
      </c>
      <c r="K31" s="6" t="s">
        <v>52</v>
      </c>
      <c r="L31" s="2">
        <v>5</v>
      </c>
    </row>
    <row r="32" spans="3:12" x14ac:dyDescent="0.25">
      <c r="C32" s="6" t="s">
        <v>54</v>
      </c>
      <c r="D32" s="1">
        <v>17</v>
      </c>
      <c r="G32" s="6" t="s">
        <v>53</v>
      </c>
      <c r="H32" s="2">
        <v>36.684210526315788</v>
      </c>
      <c r="K32" s="6" t="s">
        <v>53</v>
      </c>
      <c r="L32" s="2">
        <v>4</v>
      </c>
    </row>
    <row r="33" spans="1:12" x14ac:dyDescent="0.25">
      <c r="C33" s="6" t="s">
        <v>55</v>
      </c>
      <c r="D33" s="1">
        <v>15</v>
      </c>
      <c r="G33" s="6" t="s">
        <v>54</v>
      </c>
      <c r="H33" s="2">
        <v>33.764705882352942</v>
      </c>
      <c r="K33" s="6" t="s">
        <v>54</v>
      </c>
      <c r="L33" s="2">
        <v>5.333333333333333</v>
      </c>
    </row>
    <row r="34" spans="1:12" x14ac:dyDescent="0.25">
      <c r="C34" s="6" t="s">
        <v>56</v>
      </c>
      <c r="D34" s="1">
        <v>16</v>
      </c>
      <c r="G34" s="6" t="s">
        <v>55</v>
      </c>
      <c r="H34" s="2">
        <v>34.533333333333331</v>
      </c>
      <c r="K34" s="6" t="s">
        <v>55</v>
      </c>
      <c r="L34" s="2">
        <v>6</v>
      </c>
    </row>
    <row r="35" spans="1:12" x14ac:dyDescent="0.25">
      <c r="C35" s="6" t="s">
        <v>5</v>
      </c>
      <c r="D35" s="1">
        <v>485</v>
      </c>
      <c r="G35" s="6" t="s">
        <v>56</v>
      </c>
      <c r="H35" s="2">
        <v>42.125</v>
      </c>
      <c r="K35" s="6" t="s">
        <v>56</v>
      </c>
      <c r="L35" s="2">
        <v>6.333333333333333</v>
      </c>
    </row>
    <row r="36" spans="1:12" x14ac:dyDescent="0.25">
      <c r="G36" s="6" t="s">
        <v>5</v>
      </c>
      <c r="H36" s="1">
        <v>35.507216494845359</v>
      </c>
      <c r="K36" s="6" t="s">
        <v>5</v>
      </c>
      <c r="L36" s="1">
        <v>4.7092198581560281</v>
      </c>
    </row>
    <row r="37" spans="1:12" x14ac:dyDescent="0.25">
      <c r="A37" s="5" t="s">
        <v>4</v>
      </c>
      <c r="B37" t="s">
        <v>10</v>
      </c>
      <c r="C37" t="s">
        <v>11</v>
      </c>
      <c r="D37" t="s">
        <v>14</v>
      </c>
    </row>
    <row r="38" spans="1:12" x14ac:dyDescent="0.25">
      <c r="A38" s="6" t="s">
        <v>7</v>
      </c>
      <c r="B38" s="12">
        <v>235</v>
      </c>
      <c r="C38" s="13">
        <v>0.4845360824742268</v>
      </c>
    </row>
    <row r="39" spans="1:12" x14ac:dyDescent="0.25">
      <c r="A39" s="6" t="s">
        <v>8</v>
      </c>
      <c r="B39" s="12">
        <v>250</v>
      </c>
      <c r="C39" s="13">
        <v>0.51546391752577314</v>
      </c>
    </row>
    <row r="40" spans="1:12" x14ac:dyDescent="0.25">
      <c r="A40" s="6" t="s">
        <v>5</v>
      </c>
      <c r="B40" s="2">
        <v>485</v>
      </c>
      <c r="C40" s="13">
        <v>1</v>
      </c>
      <c r="F40" s="5" t="s">
        <v>4</v>
      </c>
      <c r="G40" s="12" t="s">
        <v>68</v>
      </c>
    </row>
    <row r="41" spans="1:12" x14ac:dyDescent="0.25">
      <c r="F41" s="6" t="s">
        <v>67</v>
      </c>
      <c r="G41" s="12">
        <v>2</v>
      </c>
    </row>
    <row r="42" spans="1:12" x14ac:dyDescent="0.25">
      <c r="F42" s="6" t="s">
        <v>66</v>
      </c>
      <c r="G42" s="12">
        <v>11</v>
      </c>
    </row>
    <row r="43" spans="1:12" x14ac:dyDescent="0.25">
      <c r="A43" s="15" t="s">
        <v>12</v>
      </c>
      <c r="B43" s="15" t="s">
        <v>13</v>
      </c>
      <c r="C43" s="15" t="s">
        <v>69</v>
      </c>
      <c r="D43" s="14"/>
      <c r="F43" s="6" t="s">
        <v>63</v>
      </c>
      <c r="G43" s="12">
        <v>12</v>
      </c>
    </row>
    <row r="44" spans="1:12" x14ac:dyDescent="0.25">
      <c r="A44" s="16" t="str">
        <f>A39</f>
        <v>Not Admitted</v>
      </c>
      <c r="B44" s="16">
        <f>B39</f>
        <v>250</v>
      </c>
      <c r="C44" s="17">
        <f>C39</f>
        <v>0.51546391752577314</v>
      </c>
      <c r="F44" s="6" t="s">
        <v>61</v>
      </c>
      <c r="G44" s="12">
        <v>12</v>
      </c>
    </row>
    <row r="45" spans="1:12" x14ac:dyDescent="0.25">
      <c r="A45" s="16" t="str">
        <f>A38</f>
        <v>Admitted</v>
      </c>
      <c r="B45" s="16">
        <f>B38</f>
        <v>235</v>
      </c>
      <c r="C45" s="17">
        <f>C38</f>
        <v>0.4845360824742268</v>
      </c>
      <c r="F45" s="6" t="s">
        <v>60</v>
      </c>
      <c r="G45" s="12">
        <v>13</v>
      </c>
    </row>
    <row r="46" spans="1:12" x14ac:dyDescent="0.25">
      <c r="F46" s="6" t="s">
        <v>65</v>
      </c>
      <c r="G46" s="12">
        <v>53</v>
      </c>
    </row>
    <row r="47" spans="1:12" x14ac:dyDescent="0.25">
      <c r="F47" s="6" t="s">
        <v>62</v>
      </c>
      <c r="G47" s="12">
        <v>91</v>
      </c>
    </row>
    <row r="48" spans="1:12" x14ac:dyDescent="0.25">
      <c r="A48" s="5" t="s">
        <v>4</v>
      </c>
      <c r="B48" t="s">
        <v>23</v>
      </c>
      <c r="D48" t="s">
        <v>14</v>
      </c>
      <c r="F48" s="6" t="s">
        <v>64</v>
      </c>
      <c r="G48" s="12">
        <v>291</v>
      </c>
    </row>
    <row r="49" spans="1:7" x14ac:dyDescent="0.25">
      <c r="A49" s="6" t="s">
        <v>15</v>
      </c>
      <c r="B49" s="12">
        <v>59</v>
      </c>
      <c r="F49" s="6" t="s">
        <v>5</v>
      </c>
      <c r="G49" s="2">
        <v>485</v>
      </c>
    </row>
    <row r="50" spans="1:7" x14ac:dyDescent="0.25">
      <c r="A50" s="6" t="s">
        <v>16</v>
      </c>
      <c r="B50" s="12">
        <v>55</v>
      </c>
    </row>
    <row r="51" spans="1:7" x14ac:dyDescent="0.25">
      <c r="A51" s="6" t="s">
        <v>17</v>
      </c>
      <c r="B51" s="12">
        <v>69</v>
      </c>
    </row>
    <row r="52" spans="1:7" x14ac:dyDescent="0.25">
      <c r="A52" s="6" t="s">
        <v>18</v>
      </c>
      <c r="B52" s="12">
        <v>64</v>
      </c>
    </row>
    <row r="53" spans="1:7" x14ac:dyDescent="0.25">
      <c r="A53" s="6" t="s">
        <v>19</v>
      </c>
      <c r="B53" s="12">
        <v>56</v>
      </c>
      <c r="F53" s="5" t="s">
        <v>4</v>
      </c>
      <c r="G53" s="12" t="s">
        <v>26</v>
      </c>
    </row>
    <row r="54" spans="1:7" x14ac:dyDescent="0.25">
      <c r="A54" s="6" t="s">
        <v>20</v>
      </c>
      <c r="B54" s="12">
        <v>60</v>
      </c>
      <c r="F54" s="6" t="s">
        <v>25</v>
      </c>
      <c r="G54" s="2">
        <v>297</v>
      </c>
    </row>
    <row r="55" spans="1:7" x14ac:dyDescent="0.25">
      <c r="A55" s="6" t="s">
        <v>21</v>
      </c>
      <c r="B55" s="12">
        <v>51</v>
      </c>
      <c r="F55" s="6" t="s">
        <v>24</v>
      </c>
      <c r="G55" s="18">
        <v>188</v>
      </c>
    </row>
    <row r="56" spans="1:7" x14ac:dyDescent="0.25">
      <c r="A56" s="6" t="s">
        <v>22</v>
      </c>
      <c r="B56" s="12">
        <v>71</v>
      </c>
      <c r="F56" s="6" t="s">
        <v>5</v>
      </c>
      <c r="G56" s="2">
        <v>485</v>
      </c>
    </row>
    <row r="57" spans="1:7" x14ac:dyDescent="0.25">
      <c r="A57" s="6" t="s">
        <v>5</v>
      </c>
      <c r="B57" s="2">
        <v>485</v>
      </c>
    </row>
    <row r="60" spans="1:7" x14ac:dyDescent="0.25">
      <c r="F60" s="5" t="s">
        <v>4</v>
      </c>
      <c r="G60" s="12" t="s">
        <v>59</v>
      </c>
    </row>
    <row r="61" spans="1:7" x14ac:dyDescent="0.25">
      <c r="A61" s="5" t="s">
        <v>4</v>
      </c>
      <c r="F61" s="6" t="s">
        <v>57</v>
      </c>
      <c r="G61" s="12">
        <v>239</v>
      </c>
    </row>
    <row r="62" spans="1:7" x14ac:dyDescent="0.25">
      <c r="A62" s="6" t="s">
        <v>70</v>
      </c>
      <c r="F62" s="6" t="s">
        <v>58</v>
      </c>
      <c r="G62" s="12">
        <v>246</v>
      </c>
    </row>
    <row r="63" spans="1:7" x14ac:dyDescent="0.25">
      <c r="A63" s="6" t="s">
        <v>5</v>
      </c>
      <c r="F63" s="6" t="s">
        <v>5</v>
      </c>
      <c r="G63" s="2">
        <v>485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45AA9-2F7F-478E-8397-0AA47B847EAB}">
  <dimension ref="A1:L16"/>
  <sheetViews>
    <sheetView workbookViewId="0"/>
  </sheetViews>
  <sheetFormatPr defaultRowHeight="15" x14ac:dyDescent="0.25"/>
  <sheetData>
    <row r="1" spans="1:12" x14ac:dyDescent="0.25">
      <c r="A1" s="4"/>
      <c r="B1" s="4"/>
      <c r="C1" s="4"/>
      <c r="D1" s="4"/>
      <c r="E1" s="4"/>
      <c r="F1" s="4"/>
      <c r="G1" s="4"/>
      <c r="H1" s="4"/>
      <c r="I1" s="4"/>
      <c r="J1" s="4"/>
      <c r="K1" s="4"/>
      <c r="L1" s="4"/>
    </row>
    <row r="2" spans="1:12" x14ac:dyDescent="0.25">
      <c r="A2" s="4"/>
      <c r="B2" s="4"/>
      <c r="C2" s="4"/>
      <c r="D2" s="4"/>
      <c r="E2" s="4"/>
      <c r="F2" s="4"/>
      <c r="G2" s="4"/>
      <c r="H2" s="4"/>
      <c r="I2" s="4"/>
      <c r="J2" s="4"/>
      <c r="K2" s="4"/>
      <c r="L2" s="4"/>
    </row>
    <row r="3" spans="1:12" x14ac:dyDescent="0.25">
      <c r="A3" s="4"/>
      <c r="B3" s="4"/>
      <c r="C3" s="4"/>
      <c r="D3" s="4"/>
      <c r="E3" s="4"/>
      <c r="F3" s="4"/>
      <c r="G3" s="4"/>
      <c r="H3" s="4"/>
      <c r="I3" s="4"/>
      <c r="J3" s="4"/>
      <c r="K3" s="4"/>
      <c r="L3" s="4"/>
    </row>
    <row r="4" spans="1:12" x14ac:dyDescent="0.25">
      <c r="A4" s="4"/>
      <c r="B4" s="4"/>
      <c r="C4" s="4"/>
      <c r="D4" s="4"/>
      <c r="E4" s="4"/>
      <c r="F4" s="4"/>
      <c r="G4" s="4"/>
      <c r="H4" s="4"/>
      <c r="I4" s="4"/>
      <c r="J4" s="4"/>
      <c r="K4" s="4"/>
      <c r="L4" s="4"/>
    </row>
    <row r="5" spans="1:12" x14ac:dyDescent="0.25">
      <c r="A5" s="4"/>
      <c r="B5" s="4"/>
      <c r="C5" s="4"/>
      <c r="D5" s="4"/>
      <c r="E5" s="4"/>
      <c r="F5" s="4"/>
      <c r="G5" s="4"/>
      <c r="H5" s="4"/>
      <c r="I5" s="4"/>
      <c r="J5" s="4"/>
      <c r="K5" s="4"/>
      <c r="L5" s="4"/>
    </row>
    <row r="6" spans="1:12" x14ac:dyDescent="0.25">
      <c r="A6" s="4"/>
      <c r="B6" s="4"/>
      <c r="C6" s="4"/>
      <c r="D6" s="4"/>
      <c r="E6" s="4"/>
      <c r="F6" s="4"/>
      <c r="G6" s="4"/>
      <c r="H6" s="4"/>
      <c r="I6" s="4"/>
      <c r="J6" s="4"/>
      <c r="K6" s="4"/>
      <c r="L6" s="4"/>
    </row>
    <row r="7" spans="1:12" x14ac:dyDescent="0.25">
      <c r="A7" s="4"/>
      <c r="B7" s="4"/>
      <c r="C7" s="4"/>
      <c r="D7" s="4"/>
      <c r="E7" s="4"/>
      <c r="F7" s="4"/>
      <c r="G7" s="4"/>
      <c r="H7" s="4"/>
      <c r="I7" s="4"/>
      <c r="J7" s="4"/>
      <c r="K7" s="4"/>
      <c r="L7" s="4"/>
    </row>
    <row r="8" spans="1:12" x14ac:dyDescent="0.25">
      <c r="A8" s="4"/>
      <c r="B8" s="4"/>
      <c r="C8" s="4"/>
      <c r="D8" s="4"/>
      <c r="E8" s="4"/>
      <c r="F8" s="4"/>
      <c r="G8" s="4"/>
      <c r="H8" s="4"/>
      <c r="I8" s="4"/>
      <c r="J8" s="4"/>
      <c r="K8" s="4"/>
      <c r="L8" s="4"/>
    </row>
    <row r="9" spans="1:12" x14ac:dyDescent="0.25">
      <c r="A9" s="4"/>
      <c r="B9" s="4"/>
      <c r="C9" s="4"/>
      <c r="D9" s="4"/>
      <c r="E9" s="4"/>
      <c r="F9" s="4"/>
      <c r="G9" s="4"/>
      <c r="H9" s="4"/>
      <c r="I9" s="4"/>
      <c r="J9" s="4"/>
      <c r="K9" s="4"/>
      <c r="L9" s="4"/>
    </row>
    <row r="10" spans="1:12" x14ac:dyDescent="0.25">
      <c r="A10" s="4"/>
      <c r="B10" s="4"/>
      <c r="C10" s="4"/>
      <c r="D10" s="4"/>
      <c r="E10" s="4"/>
      <c r="F10" s="4"/>
      <c r="G10" s="4"/>
      <c r="H10" s="4"/>
      <c r="I10" s="4"/>
      <c r="J10" s="4"/>
      <c r="K10" s="4"/>
      <c r="L10" s="4"/>
    </row>
    <row r="11" spans="1:12" x14ac:dyDescent="0.25">
      <c r="A11" s="4"/>
      <c r="B11" s="4"/>
      <c r="C11" s="4"/>
      <c r="D11" s="4"/>
      <c r="E11" s="4"/>
      <c r="F11" s="4"/>
      <c r="G11" s="4"/>
      <c r="H11" s="4"/>
      <c r="I11" s="4"/>
      <c r="J11" s="4"/>
      <c r="K11" s="4"/>
      <c r="L11" s="4"/>
    </row>
    <row r="12" spans="1:12" x14ac:dyDescent="0.25">
      <c r="A12" s="4"/>
      <c r="B12" s="4"/>
      <c r="C12" s="4"/>
      <c r="D12" s="4"/>
      <c r="E12" s="4"/>
      <c r="F12" s="4"/>
      <c r="G12" s="4"/>
      <c r="H12" s="4"/>
      <c r="I12" s="4"/>
      <c r="J12" s="4"/>
      <c r="K12" s="4"/>
      <c r="L12" s="4"/>
    </row>
    <row r="13" spans="1:12" x14ac:dyDescent="0.25">
      <c r="A13" s="4"/>
      <c r="B13" s="4"/>
      <c r="C13" s="4"/>
      <c r="D13" s="4"/>
      <c r="E13" s="4"/>
      <c r="F13" s="4"/>
      <c r="G13" s="4"/>
      <c r="H13" s="4"/>
      <c r="I13" s="4"/>
      <c r="J13" s="4"/>
      <c r="K13" s="4"/>
      <c r="L13" s="4"/>
    </row>
    <row r="14" spans="1:12" x14ac:dyDescent="0.25">
      <c r="A14" s="4"/>
      <c r="B14" s="4"/>
      <c r="C14" s="4"/>
      <c r="D14" s="4"/>
      <c r="E14" s="4"/>
      <c r="F14" s="4"/>
      <c r="G14" s="4"/>
      <c r="H14" s="4"/>
      <c r="I14" s="4"/>
      <c r="J14" s="4"/>
      <c r="K14" s="4"/>
      <c r="L14" s="4"/>
    </row>
    <row r="15" spans="1:12" x14ac:dyDescent="0.25">
      <c r="A15" s="4"/>
      <c r="B15" s="4"/>
      <c r="C15" s="4"/>
      <c r="D15" s="4"/>
      <c r="E15" s="4"/>
      <c r="F15" s="4"/>
      <c r="G15" s="4"/>
      <c r="H15" s="4"/>
      <c r="I15" s="4"/>
      <c r="J15" s="4"/>
      <c r="K15" s="4"/>
      <c r="L15" s="4"/>
    </row>
    <row r="16" spans="1:12" ht="15.75" x14ac:dyDescent="0.25">
      <c r="A16" s="11" t="s">
        <v>6</v>
      </c>
      <c r="B16" s="7"/>
      <c r="C16" s="7"/>
      <c r="D16" s="7"/>
      <c r="E16" s="7"/>
      <c r="F16" s="7"/>
      <c r="G16" s="7"/>
      <c r="H16" s="7"/>
      <c r="I16" s="7"/>
      <c r="J16" s="7"/>
      <c r="K16" s="7"/>
      <c r="L16"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652D9-C619-46DD-A249-54A15A42E26D}">
  <dimension ref="A1:L17"/>
  <sheetViews>
    <sheetView workbookViewId="0"/>
  </sheetViews>
  <sheetFormatPr defaultRowHeight="15" x14ac:dyDescent="0.25"/>
  <sheetData>
    <row r="1" spans="1:9" x14ac:dyDescent="0.25">
      <c r="A1" s="8"/>
      <c r="B1" s="8"/>
      <c r="C1" s="8"/>
      <c r="D1" s="8"/>
      <c r="E1" s="8"/>
      <c r="F1" s="8"/>
      <c r="G1" s="8"/>
      <c r="H1" s="8"/>
      <c r="I1" s="8"/>
    </row>
    <row r="2" spans="1:9" x14ac:dyDescent="0.25">
      <c r="A2" s="8"/>
      <c r="B2" s="8"/>
      <c r="C2" s="8"/>
      <c r="D2" s="8"/>
      <c r="E2" s="8"/>
      <c r="F2" s="8"/>
      <c r="G2" s="8"/>
      <c r="H2" s="8"/>
      <c r="I2" s="8"/>
    </row>
    <row r="3" spans="1:9" x14ac:dyDescent="0.25">
      <c r="A3" s="8"/>
      <c r="B3" s="8"/>
      <c r="C3" s="8"/>
      <c r="D3" s="8"/>
      <c r="E3" s="8"/>
      <c r="F3" s="8"/>
      <c r="G3" s="8"/>
      <c r="H3" s="8"/>
      <c r="I3" s="8"/>
    </row>
    <row r="4" spans="1:9" x14ac:dyDescent="0.25">
      <c r="A4" s="8"/>
      <c r="B4" s="8"/>
      <c r="C4" s="8"/>
      <c r="D4" s="8"/>
      <c r="E4" s="8"/>
      <c r="F4" s="8"/>
      <c r="G4" s="8"/>
      <c r="H4" s="8"/>
      <c r="I4" s="8"/>
    </row>
    <row r="5" spans="1:9" x14ac:dyDescent="0.25">
      <c r="A5" s="8"/>
      <c r="B5" s="8"/>
      <c r="C5" s="8"/>
      <c r="D5" s="8"/>
      <c r="E5" s="8"/>
      <c r="F5" s="8"/>
      <c r="G5" s="8"/>
      <c r="H5" s="8"/>
      <c r="I5" s="8"/>
    </row>
    <row r="6" spans="1:9" x14ac:dyDescent="0.25">
      <c r="A6" s="8"/>
      <c r="B6" s="8"/>
      <c r="C6" s="8"/>
      <c r="D6" s="8"/>
      <c r="E6" s="8"/>
      <c r="F6" s="8"/>
      <c r="G6" s="8"/>
      <c r="H6" s="8"/>
      <c r="I6" s="8"/>
    </row>
    <row r="7" spans="1:9" x14ac:dyDescent="0.25">
      <c r="A7" s="8"/>
      <c r="B7" s="8"/>
      <c r="C7" s="8"/>
      <c r="D7" s="8"/>
      <c r="E7" s="8"/>
      <c r="F7" s="8"/>
      <c r="G7" s="8"/>
      <c r="H7" s="8"/>
      <c r="I7" s="8"/>
    </row>
    <row r="8" spans="1:9" x14ac:dyDescent="0.25">
      <c r="A8" s="8"/>
      <c r="B8" s="8"/>
      <c r="C8" s="8"/>
      <c r="D8" s="8"/>
      <c r="E8" s="8"/>
      <c r="F8" s="8"/>
      <c r="G8" s="8"/>
      <c r="H8" s="8"/>
      <c r="I8" s="8"/>
    </row>
    <row r="9" spans="1:9" x14ac:dyDescent="0.25">
      <c r="A9" s="8"/>
      <c r="B9" s="8"/>
      <c r="C9" s="8"/>
      <c r="D9" s="8"/>
      <c r="E9" s="8"/>
      <c r="F9" s="8"/>
      <c r="G9" s="8"/>
      <c r="H9" s="8"/>
      <c r="I9" s="8"/>
    </row>
    <row r="10" spans="1:9" x14ac:dyDescent="0.25">
      <c r="A10" s="8"/>
      <c r="B10" s="8"/>
      <c r="C10" s="8"/>
      <c r="D10" s="8"/>
      <c r="E10" s="8"/>
      <c r="F10" s="8"/>
      <c r="G10" s="8"/>
      <c r="H10" s="8"/>
      <c r="I10" s="8"/>
    </row>
    <row r="11" spans="1:9" x14ac:dyDescent="0.25">
      <c r="A11" s="8"/>
      <c r="B11" s="8"/>
      <c r="C11" s="8"/>
      <c r="D11" s="8"/>
      <c r="E11" s="8"/>
      <c r="F11" s="8"/>
      <c r="G11" s="8"/>
      <c r="H11" s="8"/>
      <c r="I11" s="8"/>
    </row>
    <row r="12" spans="1:9" x14ac:dyDescent="0.25">
      <c r="A12" s="8"/>
      <c r="B12" s="8"/>
      <c r="C12" s="8"/>
      <c r="D12" s="8"/>
      <c r="E12" s="8"/>
      <c r="F12" s="8"/>
      <c r="G12" s="8"/>
      <c r="H12" s="8"/>
      <c r="I12" s="8"/>
    </row>
    <row r="13" spans="1:9" x14ac:dyDescent="0.25">
      <c r="A13" s="8"/>
      <c r="B13" s="8"/>
      <c r="C13" s="8"/>
      <c r="D13" s="8"/>
      <c r="E13" s="8"/>
      <c r="F13" s="8"/>
      <c r="G13" s="8"/>
      <c r="H13" s="8"/>
      <c r="I13" s="8"/>
    </row>
    <row r="14" spans="1:9" x14ac:dyDescent="0.25">
      <c r="A14" s="8"/>
      <c r="B14" s="8"/>
      <c r="C14" s="8"/>
      <c r="D14" s="8"/>
      <c r="E14" s="8"/>
      <c r="F14" s="8"/>
      <c r="G14" s="8"/>
      <c r="H14" s="8"/>
      <c r="I14" s="8"/>
    </row>
    <row r="15" spans="1:9" x14ac:dyDescent="0.25">
      <c r="A15" s="8"/>
      <c r="B15" s="8"/>
      <c r="C15" s="8"/>
      <c r="D15" s="8"/>
      <c r="E15" s="8"/>
      <c r="F15" s="8"/>
      <c r="G15" s="8"/>
      <c r="H15" s="8"/>
      <c r="I15" s="8"/>
    </row>
    <row r="16" spans="1:9" x14ac:dyDescent="0.25">
      <c r="A16" s="8"/>
    </row>
    <row r="17" spans="1:12" x14ac:dyDescent="0.25">
      <c r="A17" s="10" t="s">
        <v>9</v>
      </c>
      <c r="B17" s="9"/>
      <c r="C17" s="9"/>
      <c r="D17" s="9"/>
      <c r="E17" s="9"/>
      <c r="F17" s="9"/>
      <c r="G17" s="9"/>
      <c r="H17" s="9"/>
      <c r="I17" s="9"/>
      <c r="J17" s="9"/>
      <c r="K17" s="9"/>
      <c r="L17"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2832F-944B-421B-B807-E5B41B09F349}">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2081372-59D2-400E-A837-6F40FE85D416}">
  <ds:schemaRefs/>
</ds:datastoreItem>
</file>

<file path=customXml/itemProps2.xml><?xml version="1.0" encoding="utf-8"?>
<ds:datastoreItem xmlns:ds="http://schemas.openxmlformats.org/officeDocument/2006/customXml" ds:itemID="{FDBF21A2-4BD0-47A7-9ACC-24A8F3EC1DC5}">
  <ds:schemaRefs/>
</ds:datastoreItem>
</file>

<file path=customXml/itemProps3.xml><?xml version="1.0" encoding="utf-8"?>
<ds:datastoreItem xmlns:ds="http://schemas.openxmlformats.org/officeDocument/2006/customXml" ds:itemID="{FEDE2E1B-C00B-43B9-8570-6096B13BEFB3}">
  <ds:schemaRefs/>
</ds:datastoreItem>
</file>

<file path=customXml/itemProps4.xml><?xml version="1.0" encoding="utf-8"?>
<ds:datastoreItem xmlns:ds="http://schemas.openxmlformats.org/officeDocument/2006/customXml" ds:itemID="{359B051E-6CDD-4F89-9F63-0ECF47DF12D8}">
  <ds:schemaRefs/>
</ds:datastoreItem>
</file>

<file path=customXml/itemProps5.xml><?xml version="1.0" encoding="utf-8"?>
<ds:datastoreItem xmlns:ds="http://schemas.openxmlformats.org/officeDocument/2006/customXml" ds:itemID="{F199A63E-DA2C-4CC3-96FC-603E88F1DF5C}">
  <ds:schemaRefs/>
</ds:datastoreItem>
</file>

<file path=customXml/itemProps6.xml><?xml version="1.0" encoding="utf-8"?>
<ds:datastoreItem xmlns:ds="http://schemas.openxmlformats.org/officeDocument/2006/customXml" ds:itemID="{D492F5EE-227F-48A3-9F4A-A7EDB88A3EE8}">
  <ds:schemaRefs/>
</ds:datastoreItem>
</file>

<file path=customXml/itemProps7.xml><?xml version="1.0" encoding="utf-8"?>
<ds:datastoreItem xmlns:ds="http://schemas.openxmlformats.org/officeDocument/2006/customXml" ds:itemID="{BBAC2390-FD9E-4856-9FAB-7747072B96EF}">
  <ds:schemaRefs/>
</ds:datastoreItem>
</file>

<file path=customXml/itemProps8.xml><?xml version="1.0" encoding="utf-8"?>
<ds:datastoreItem xmlns:ds="http://schemas.openxmlformats.org/officeDocument/2006/customXml" ds:itemID="{F9589002-808B-45AB-B02A-980FF03DC2DB}">
  <ds:schemaRefs/>
</ds:datastoreItem>
</file>

<file path=customXml/itemProps9.xml><?xml version="1.0" encoding="utf-8"?>
<ds:datastoreItem xmlns:ds="http://schemas.openxmlformats.org/officeDocument/2006/customXml" ds:itemID="{A81E502F-A299-4D0A-A38C-18FD4BA7528D}">
  <ds:schemaRefs>
    <ds:schemaRef ds:uri="http://schemas.microsoft.com/DataMashup"/>
  </ds:schemaRefs>
</ds:datastoreItem>
</file>

<file path=customXml/itemProps10.xml><?xml version="1.0" encoding="utf-8"?>
<ds:datastoreItem xmlns:ds="http://schemas.openxmlformats.org/officeDocument/2006/customXml" ds:itemID="{6B79C331-33F0-4937-982D-84BB0645A5A5}">
  <ds:schemaRefs/>
</ds:datastoreItem>
</file>

<file path=customXml/itemProps11.xml><?xml version="1.0" encoding="utf-8"?>
<ds:datastoreItem xmlns:ds="http://schemas.openxmlformats.org/officeDocument/2006/customXml" ds:itemID="{B56ADE31-DE6D-4FDA-8F68-D9131486D4AE}">
  <ds:schemaRefs/>
</ds:datastoreItem>
</file>

<file path=customXml/itemProps12.xml><?xml version="1.0" encoding="utf-8"?>
<ds:datastoreItem xmlns:ds="http://schemas.openxmlformats.org/officeDocument/2006/customXml" ds:itemID="{7DE2DB2E-9F6A-4659-B02E-6905123D09FC}">
  <ds:schemaRefs/>
</ds:datastoreItem>
</file>

<file path=customXml/itemProps13.xml><?xml version="1.0" encoding="utf-8"?>
<ds:datastoreItem xmlns:ds="http://schemas.openxmlformats.org/officeDocument/2006/customXml" ds:itemID="{C070F2F2-5246-4156-9FB9-567AA44E3304}">
  <ds:schemaRefs/>
</ds:datastoreItem>
</file>

<file path=customXml/itemProps14.xml><?xml version="1.0" encoding="utf-8"?>
<ds:datastoreItem xmlns:ds="http://schemas.openxmlformats.org/officeDocument/2006/customXml" ds:itemID="{B6F2696F-0490-4025-8C23-336491CAF99A}">
  <ds:schemaRefs/>
</ds:datastoreItem>
</file>

<file path=customXml/itemProps15.xml><?xml version="1.0" encoding="utf-8"?>
<ds:datastoreItem xmlns:ds="http://schemas.openxmlformats.org/officeDocument/2006/customXml" ds:itemID="{7061EA8A-DB00-44AE-91D9-2FE0819B3763}">
  <ds:schemaRefs/>
</ds:datastoreItem>
</file>

<file path=customXml/itemProps16.xml><?xml version="1.0" encoding="utf-8"?>
<ds:datastoreItem xmlns:ds="http://schemas.openxmlformats.org/officeDocument/2006/customXml" ds:itemID="{BD55C642-4CE1-41B6-8B73-01361765ECDF}">
  <ds:schemaRefs/>
</ds:datastoreItem>
</file>

<file path=customXml/itemProps17.xml><?xml version="1.0" encoding="utf-8"?>
<ds:datastoreItem xmlns:ds="http://schemas.openxmlformats.org/officeDocument/2006/customXml" ds:itemID="{0F067A6F-5CCF-454F-BF85-4D36084BF4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vt:lpstr>
      <vt:lpstr>Daily ER no. of Patient</vt:lpstr>
      <vt:lpstr>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Radhika Sihra</dc:creator>
  <cp:lastModifiedBy>Radhika Sihra</cp:lastModifiedBy>
  <dcterms:created xsi:type="dcterms:W3CDTF">2026-09-09T15:00:31Z</dcterms:created>
  <dcterms:modified xsi:type="dcterms:W3CDTF">2026-09-10T08:55:55Z</dcterms:modified>
</cp:coreProperties>
</file>